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i0480092/"/>
    </mc:Choice>
  </mc:AlternateContent>
  <xr:revisionPtr revIDLastSave="0" documentId="13_ncr:1_{BE2EE149-AA9D-404B-A54B-F2330869B456}" xr6:coauthVersionLast="47" xr6:coauthVersionMax="47" xr10:uidLastSave="{00000000-0000-0000-0000-000000000000}"/>
  <bookViews>
    <workbookView xWindow="0" yWindow="660" windowWidth="34560" windowHeight="21680" tabRatio="704" activeTab="2" xr2:uid="{00000000-000D-0000-FFFF-FFFF00000000}"/>
  </bookViews>
  <sheets>
    <sheet name="Scheduler" sheetId="6" r:id="rId1"/>
    <sheet name="Finance" sheetId="2" r:id="rId2"/>
    <sheet name="Learnings" sheetId="15" r:id="rId3"/>
    <sheet name="Extra Words" sheetId="14" r:id="rId4"/>
    <sheet name="Readings" sheetId="5" r:id="rId5"/>
    <sheet name="Musicology" sheetId="13" r:id="rId6"/>
  </sheets>
  <definedNames>
    <definedName name="_xlnm._FilterDatabase" localSheetId="2" hidden="1">Learnings!$A$1:$L$446</definedName>
    <definedName name="_xlnm._FilterDatabase" localSheetId="0" hidden="1">Scheduler!$B$1:$B$16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Scheduler!#REF!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G3" i="2"/>
  <c r="F3" i="2"/>
  <c r="K29" i="2"/>
  <c r="L26" i="2"/>
  <c r="J26" i="2"/>
  <c r="L24" i="2"/>
  <c r="C57" i="5"/>
  <c r="E3" i="2" l="1"/>
  <c r="L25" i="2" l="1"/>
  <c r="B16" i="2"/>
  <c r="D3" i="2"/>
  <c r="B7" i="13"/>
  <c r="B6" i="13"/>
  <c r="B5" i="13"/>
  <c r="B4" i="13"/>
  <c r="J3" i="2"/>
  <c r="I3" i="2"/>
  <c r="H3" i="2"/>
  <c r="G43" i="2"/>
  <c r="F43" i="2"/>
  <c r="E43" i="2"/>
  <c r="D43" i="2"/>
  <c r="C43" i="2"/>
  <c r="B43" i="2"/>
  <c r="A43" i="2"/>
  <c r="H10" i="2"/>
  <c r="H7" i="2"/>
  <c r="H9" i="2"/>
  <c r="F20" i="2"/>
  <c r="H43" i="2" l="1"/>
  <c r="C53" i="5"/>
  <c r="J30" i="2" l="1"/>
  <c r="J31" i="2"/>
  <c r="E16" i="2"/>
  <c r="J29" i="2"/>
  <c r="L27" i="2"/>
  <c r="J25" i="2"/>
  <c r="J27" i="2" l="1"/>
  <c r="J24" i="2"/>
  <c r="E15" i="2"/>
  <c r="P3" i="2"/>
  <c r="J32" i="2"/>
  <c r="C48" i="5"/>
  <c r="C49" i="5"/>
  <c r="B8" i="2" l="1"/>
  <c r="D20" i="2"/>
  <c r="E20" i="2"/>
  <c r="B14" i="2"/>
  <c r="B9" i="2"/>
  <c r="E17" i="2"/>
  <c r="B7" i="2"/>
  <c r="B10" i="2"/>
  <c r="B15" i="2"/>
  <c r="B17" i="2" s="1"/>
  <c r="X6" i="2"/>
  <c r="Y5" i="2"/>
  <c r="AC4" i="2" s="1"/>
  <c r="AB4" i="2"/>
  <c r="Z4" i="2"/>
  <c r="AA2" i="2"/>
  <c r="AA4" i="2" s="1"/>
  <c r="B18" i="2"/>
  <c r="U13" i="2"/>
  <c r="U12" i="2"/>
  <c r="U11" i="2"/>
  <c r="U10" i="2"/>
  <c r="U9" i="2"/>
  <c r="U8" i="2"/>
  <c r="U7" i="2"/>
  <c r="U6" i="2"/>
  <c r="U5" i="2"/>
  <c r="U4" i="2"/>
  <c r="U3" i="2"/>
  <c r="U14" i="2"/>
  <c r="B50" i="5" l="1"/>
  <c r="B49" i="5"/>
  <c r="K28" i="2" l="1"/>
  <c r="C27" i="2"/>
  <c r="D27" i="2" s="1"/>
  <c r="E27" i="2" s="1"/>
  <c r="F27" i="2" l="1"/>
  <c r="G27" i="2" s="1"/>
  <c r="H27" i="2" s="1"/>
  <c r="C26" i="2" l="1"/>
  <c r="D26" i="2" s="1"/>
  <c r="E26" i="2" s="1"/>
  <c r="F26" i="2" s="1"/>
  <c r="G26" i="2" s="1"/>
  <c r="H26" i="2" s="1"/>
  <c r="C25" i="2"/>
  <c r="D25" i="2" s="1"/>
  <c r="E25" i="2" s="1"/>
  <c r="F25" i="2" s="1"/>
  <c r="G25" i="2" s="1"/>
  <c r="H25" i="2" s="1"/>
  <c r="L28" i="2" l="1"/>
  <c r="K3" i="2" l="1"/>
  <c r="T43" i="6" l="1"/>
  <c r="R43" i="6" l="1"/>
  <c r="C58" i="5" l="1"/>
  <c r="C24" i="2" l="1"/>
  <c r="D24" i="2" s="1"/>
  <c r="E24" i="2" s="1"/>
  <c r="F24" i="2" l="1"/>
  <c r="G24" i="2" s="1"/>
  <c r="H24" i="2" s="1"/>
  <c r="H22" i="2"/>
  <c r="E8" i="2"/>
  <c r="B11" i="2" l="1"/>
  <c r="H11" i="2" l="1"/>
  <c r="N38" i="6" l="1"/>
  <c r="M38" i="6"/>
  <c r="C54" i="5" l="1"/>
  <c r="G20" i="2" l="1"/>
  <c r="Q3" i="2" l="1"/>
  <c r="K35" i="6" l="1"/>
  <c r="S43" i="6"/>
  <c r="L25" i="6"/>
  <c r="K25" i="6"/>
  <c r="N22" i="6" l="1"/>
  <c r="M22" i="6"/>
  <c r="P45" i="6" l="1"/>
  <c r="O45" i="6"/>
  <c r="P35" i="6"/>
  <c r="O35" i="6"/>
  <c r="L42" i="6"/>
  <c r="K42" i="6"/>
  <c r="L35" i="6"/>
  <c r="P25" i="6" l="1"/>
  <c r="C32" i="2" l="1"/>
  <c r="D32" i="2" s="1"/>
  <c r="C31" i="2"/>
  <c r="D31" i="2" s="1"/>
  <c r="E31" i="2" s="1"/>
  <c r="F31" i="2" s="1"/>
  <c r="G31" i="2" s="1"/>
  <c r="H31" i="2" s="1"/>
  <c r="C30" i="2"/>
  <c r="D30" i="2" s="1"/>
  <c r="E30" i="2" s="1"/>
  <c r="F30" i="2" s="1"/>
  <c r="G30" i="2" s="1"/>
  <c r="H30" i="2" s="1"/>
  <c r="C29" i="2"/>
  <c r="D29" i="2" s="1"/>
  <c r="E29" i="2" s="1"/>
  <c r="F29" i="2" s="1"/>
  <c r="G29" i="2" s="1"/>
  <c r="H29" i="2" s="1"/>
  <c r="E14" i="2"/>
  <c r="B2" i="2"/>
  <c r="B4" i="2" s="1"/>
  <c r="E7" i="2" s="1"/>
  <c r="E11" i="2" s="1"/>
  <c r="O25" i="6"/>
  <c r="E9" i="2" l="1"/>
  <c r="E18" i="2"/>
  <c r="B20" i="2" s="1"/>
  <c r="P5" i="2"/>
  <c r="Q5" i="2"/>
  <c r="Q4" i="2"/>
  <c r="E32" i="2"/>
  <c r="F32" i="2" s="1"/>
  <c r="G32" i="2" s="1"/>
  <c r="H32" i="2" s="1"/>
  <c r="P4" i="2"/>
  <c r="P6" i="2" l="1"/>
  <c r="P7" i="2" s="1"/>
  <c r="P8" i="2" s="1"/>
  <c r="P13" i="2" s="1"/>
  <c r="Q6" i="2"/>
  <c r="Q7" i="2" s="1"/>
  <c r="Q12" i="2" s="1"/>
  <c r="E10" i="2" l="1"/>
  <c r="P10" i="2"/>
  <c r="P12" i="2"/>
  <c r="P9" i="2"/>
  <c r="P11" i="2" s="1"/>
  <c r="Q9" i="2"/>
  <c r="Q11" i="2" s="1"/>
  <c r="Q13" i="2" s="1"/>
  <c r="Q14" i="2"/>
  <c r="Q8" i="2"/>
  <c r="Q15" i="2" s="1"/>
  <c r="Q10" i="2" l="1"/>
  <c r="J28" i="13" l="1"/>
  <c r="K28" i="13" s="1"/>
  <c r="J27" i="13"/>
  <c r="K27" i="13" s="1"/>
  <c r="J26" i="13"/>
  <c r="K26" i="13" s="1"/>
  <c r="J25" i="13"/>
  <c r="K25" i="13" s="1"/>
  <c r="J24" i="13"/>
  <c r="K24" i="13" s="1"/>
  <c r="J23" i="13" l="1"/>
  <c r="K23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朱友晶</author>
    <author>Chris</author>
  </authors>
  <commentList>
    <comment ref="A2" authorId="0" shapeId="0" xr:uid="{6B2BC1F0-ED8A-4EB7-8E39-D334C5E5044B}">
      <text>
        <r>
          <rPr>
            <sz val="9"/>
            <color indexed="81"/>
            <rFont val="Verdana"/>
            <family val="2"/>
          </rPr>
          <t>Gaps:
  on: every 100th page | every new chap</t>
        </r>
      </text>
    </comment>
    <comment ref="E8" authorId="1" shapeId="0" xr:uid="{50E5F1F9-EAE1-44DB-BDA9-2AC5671AF9E3}">
      <text>
        <r>
          <rPr>
            <sz val="9"/>
            <color rgb="FF000000"/>
            <rFont val="微软雅黑"/>
            <family val="2"/>
            <charset val="134"/>
          </rPr>
          <t>Finished reading:
电子游戏软件-2000-3-P70-龙哥热线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Chris</author>
    <author>朱友晶</author>
  </authors>
  <commentList>
    <comment ref="L3" authorId="0" shapeId="0" xr:uid="{317A24EF-F924-41E2-89F7-9D7BE0F29674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Linux</t>
        </r>
      </text>
    </comment>
    <comment ref="L15" authorId="0" shapeId="0" xr:uid="{5705B8B4-A28B-884F-B5D5-9D25CB410EE2}">
      <text>
        <r>
          <rPr>
            <sz val="9"/>
            <color rgb="FF000000"/>
            <rFont val="Verdana"/>
            <family val="34"/>
          </rPr>
          <t xml:space="preserve">Wiki:
</t>
        </r>
        <r>
          <rPr>
            <sz val="9"/>
            <color rgb="FF000000"/>
            <rFont val="Verdana"/>
            <family val="34"/>
          </rPr>
          <t>Linux namespaces</t>
        </r>
      </text>
    </comment>
    <comment ref="L19" authorId="0" shapeId="0" xr:uid="{7E06B8C8-3ABB-426B-8EE1-965773520574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https://wiki.archlinux.org/index.php/File_systems</t>
        </r>
      </text>
    </comment>
    <comment ref="J43" authorId="0" shapeId="0" xr:uid="{0F399721-ACF2-5648-A628-6E9FD9D11E73}">
      <text>
        <r>
          <rPr>
            <sz val="9"/>
            <color rgb="FF000000"/>
            <rFont val="Verdana"/>
            <family val="2"/>
          </rPr>
          <t>https://www.linode.com/docs/guides/linux-package-management-overview/</t>
        </r>
      </text>
    </comment>
    <comment ref="J68" authorId="1" shapeId="0" xr:uid="{B4CABCE9-3CB1-4B33-AB82-120581F2866F}">
      <text>
        <r>
          <rPr>
            <sz val="9"/>
            <color rgb="FF000000"/>
            <rFont val="Verdana"/>
            <family val="2"/>
          </rPr>
          <t>https://linuxize.com/post/linux-tee-command</t>
        </r>
      </text>
    </comment>
    <comment ref="L68" authorId="0" shapeId="0" xr:uid="{34204A07-99B3-42B0-91BE-99789F9EA2D1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 xml:space="preserve">https://en.wikipedia.org/wiki/Tee_(command)#Examples
</t>
        </r>
        <r>
          <rPr>
            <sz val="9"/>
            <color rgb="FF000000"/>
            <rFont val="Verdana"/>
            <family val="2"/>
          </rPr>
          <t>Similarly, both the stdout and stderr output streams ...</t>
        </r>
      </text>
    </comment>
    <comment ref="J93" authorId="1" shapeId="0" xr:uid="{F8B1BF64-8DB2-4FC3-859C-368220989A79}">
      <text>
        <r>
          <rPr>
            <sz val="9"/>
            <color rgb="FF000000"/>
            <rFont val="Verdana"/>
            <family val="2"/>
          </rPr>
          <t>https://www.theserverside.com/blog/Coffee-Talk-Java-News-Stories-and-Opinions/Why-must-you-use-to-run-your-Ubuntu-scripts-The-meaning-of-Linuxs-dot-slash-explained</t>
        </r>
        <r>
          <rPr>
            <sz val="8"/>
            <color rgb="FF000000"/>
            <rFont val="Verdana"/>
            <family val="2"/>
          </rPr>
          <t xml:space="preserve">
</t>
        </r>
      </text>
    </comment>
    <comment ref="J97" authorId="0" shapeId="0" xr:uid="{D065B231-93DE-4858-A6A5-E708474CE35E}">
      <text>
        <r>
          <rPr>
            <sz val="9"/>
            <color rgb="FF000000"/>
            <rFont val="Verdana"/>
            <family val="2"/>
          </rPr>
          <t>https://tldp.org/LDP/abs/html/index.html</t>
        </r>
      </text>
    </comment>
    <comment ref="J100" authorId="0" shapeId="0" xr:uid="{C522F2C8-0868-4E5F-B92E-07304C252C7F}">
      <text>
        <r>
          <rPr>
            <sz val="9"/>
            <color rgb="FF000000"/>
            <rFont val="Verdana"/>
            <family val="2"/>
          </rPr>
          <t xml:space="preserve">https://www.cnblogs.com/renyz/p/11373525.html
</t>
        </r>
        <r>
          <rPr>
            <sz val="9"/>
            <color rgb="FF000000"/>
            <rFont val="Verdana"/>
            <family val="2"/>
          </rPr>
          <t xml:space="preserve">
</t>
        </r>
        <r>
          <rPr>
            <sz val="9"/>
            <color rgb="FF000000"/>
            <rFont val="Verdana"/>
            <family val="2"/>
          </rPr>
          <t xml:space="preserve">---
</t>
        </r>
        <r>
          <rPr>
            <sz val="9"/>
            <color rgb="FF000000"/>
            <rFont val="Verdana"/>
            <family val="2"/>
          </rPr>
          <t xml:space="preserve">
</t>
        </r>
        <r>
          <rPr>
            <sz val="9"/>
            <color rgb="FF000000"/>
            <rFont val="Verdana"/>
            <family val="2"/>
          </rPr>
          <t>https://en.wikipedia.org/wiki/Here_document#Here_strings</t>
        </r>
      </text>
    </comment>
    <comment ref="H102" authorId="1" shapeId="0" xr:uid="{FEDA5AEE-F68F-4F87-9A5D-792002247AB0}">
      <text>
        <r>
          <rPr>
            <sz val="9"/>
            <color rgb="FF000000"/>
            <rFont val="Microsoft YaHei"/>
            <family val="34"/>
            <charset val="134"/>
          </rPr>
          <t>狂神说</t>
        </r>
        <r>
          <rPr>
            <sz val="9"/>
            <color rgb="FF000000"/>
            <rFont val="Microsoft YaHei"/>
            <family val="34"/>
            <charset val="134"/>
          </rPr>
          <t>Docker</t>
        </r>
      </text>
    </comment>
    <comment ref="I102" authorId="0" shapeId="0" xr:uid="{3A70A1BA-89EF-4F7E-B1CD-6CFA82D969A1}">
      <text>
        <r>
          <rPr>
            <sz val="9"/>
            <color rgb="FF000000"/>
            <rFont val="Verdana"/>
            <family val="2"/>
          </rPr>
          <t>https://docs.docker.com/get-started/02_our_app/#next-steps</t>
        </r>
      </text>
    </comment>
    <comment ref="L102" authorId="1" shapeId="0" xr:uid="{FF32E0B7-DDB5-4C43-AFEE-C56405052545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Docker (software)</t>
        </r>
      </text>
    </comment>
    <comment ref="J116" authorId="1" shapeId="0" xr:uid="{FD1AA15B-7420-4BAE-AF4F-130FC17F8873}">
      <text>
        <r>
          <rPr>
            <sz val="9"/>
            <color rgb="FF000000"/>
            <rFont val="Verdana"/>
            <family val="2"/>
          </rPr>
          <t>https://medium.com/@chamilad/lets-make-your-docker-image-better-than-90-of-existing-ones-8b1e5de950d</t>
        </r>
      </text>
    </comment>
    <comment ref="J127" authorId="1" shapeId="0" xr:uid="{86FA7B9B-415D-4968-ADCA-2D24A9F6CB1C}">
      <text>
        <r>
          <rPr>
            <sz val="9"/>
            <color rgb="FF000000"/>
            <rFont val="Verdana"/>
            <family val="2"/>
          </rPr>
          <t>https://www.docker.com/blog/what-is-containerd-runtime</t>
        </r>
      </text>
    </comment>
    <comment ref="L127" authorId="1" shapeId="0" xr:uid="{5A1ACEA1-076C-41C4-8D05-DA1B07780CC3}">
      <text>
        <r>
          <rPr>
            <sz val="9"/>
            <color rgb="FF000000"/>
            <rFont val="Verdana"/>
            <family val="2"/>
          </rPr>
          <t>https://en.wikipedia.org/wiki/Cloud_Native_Computing_Foundation#containerd</t>
        </r>
      </text>
    </comment>
    <comment ref="J128" authorId="1" shapeId="0" xr:uid="{904DA2C5-9501-46C4-B4C8-1BD945D0A63E}">
      <text>
        <r>
          <rPr>
            <sz val="9"/>
            <color rgb="FF000000"/>
            <rFont val="Verdana"/>
            <family val="2"/>
          </rPr>
          <t>https://www.docker.com/blog/runc/</t>
        </r>
      </text>
    </comment>
    <comment ref="L128" authorId="1" shapeId="0" xr:uid="{41B9CDB8-C636-442E-94A6-FBBCB11C2A85}">
      <text>
        <r>
          <rPr>
            <sz val="9"/>
            <color rgb="FF000000"/>
            <rFont val="Verdana"/>
            <family val="2"/>
          </rPr>
          <t>https://en.wikipedia.org/wiki/Open_Container_Initiative</t>
        </r>
      </text>
    </comment>
    <comment ref="J129" authorId="1" shapeId="0" xr:uid="{BDF99FB0-8903-4774-AA3B-2B23262490CE}">
      <text>
        <r>
          <rPr>
            <sz val="9"/>
            <color rgb="FF000000"/>
            <rFont val="Verdana"/>
            <family val="2"/>
          </rPr>
          <t>https://medium.com/@BeNitinAgarwal/an-init-system-inside-the-docker-container-3821ee233f4b</t>
        </r>
      </text>
    </comment>
    <comment ref="J132" authorId="1" shapeId="0" xr:uid="{76F73BDF-3D59-4CFC-ACA8-818B7FC6EF37}">
      <text>
        <r>
          <rPr>
            <sz val="9"/>
            <color rgb="FF000000"/>
            <rFont val="Verdana"/>
            <family val="2"/>
          </rPr>
          <t>https://zhuanlan.zhihu.com/p/106948896</t>
        </r>
      </text>
    </comment>
    <comment ref="I144" authorId="0" shapeId="0" xr:uid="{A1CA5C46-B98A-4456-A173-8B0B993F42A4}">
      <text>
        <r>
          <rPr>
            <sz val="9"/>
            <color rgb="FF000000"/>
            <rFont val="Verdana"/>
            <family val="2"/>
          </rPr>
          <t>https://maven.apache.org/guides/mini/guide-using-toolchains.html#using-toolchains-in-your-project</t>
        </r>
      </text>
    </comment>
    <comment ref="L149" authorId="1" shapeId="0" xr:uid="{AA72122C-289E-44AD-8731-2D2146E30EB1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Java (programming language)</t>
        </r>
      </text>
    </comment>
    <comment ref="I150" authorId="0" shapeId="0" xr:uid="{610CFF21-9B03-452A-B1AF-C982C416309F}">
      <text>
        <r>
          <rPr>
            <sz val="9"/>
            <color rgb="FF000000"/>
            <rFont val="Verdana"/>
            <family val="2"/>
          </rPr>
          <t>https://github.com/doocs/source-code-hunter/blob/main/docs/Netty/IOTechnologyBase/%E6%8A%8A%E8%A2%AB%E8%AF%B4%E7%83%82%E7%9A%84BIO%E3%80%81NIO%E3%80%81AIO%E5%86%8D%E4%BB%8E%E5%A4%B4%E5%88%B0%E5%B0%BE%E6%89%AF%E4%B8%80%E9%81%8D.md#%E4%BC%A0%E7%BB%9F-bio-%E5%A4%9A%E7%BA%BF%E7%A8%8B%E7%89%88%E6%9C%AC</t>
        </r>
      </text>
    </comment>
    <comment ref="L150" authorId="0" shapeId="0" xr:uid="{7830E7BB-7896-491E-AE72-2AC9CFCD92C8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https://docs.oracle.com/javase/tutorial/essential/io/index.html</t>
        </r>
      </text>
    </comment>
    <comment ref="L151" authorId="1" shapeId="0" xr:uid="{83C45526-0D42-48DB-A4DA-3D44AB263F77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Java concurrency</t>
        </r>
      </text>
    </comment>
    <comment ref="I152" authorId="0" shapeId="0" xr:uid="{29321823-88BD-40CD-8E05-49A069EB95DB}">
      <text>
        <r>
          <rPr>
            <sz val="9"/>
            <color rgb="FF000000"/>
            <rFont val="Verdana"/>
            <family val="2"/>
          </rPr>
          <t xml:space="preserve">Oracle Docs:
</t>
        </r>
        <r>
          <rPr>
            <sz val="9"/>
            <color rgb="FF000000"/>
            <rFont val="Verdana"/>
            <family val="2"/>
          </rPr>
          <t>https://docs.oracle.com/javase/tutorial/essential/concurrency/pools.html</t>
        </r>
      </text>
    </comment>
    <comment ref="L152" authorId="1" shapeId="0" xr:uid="{2F287A69-0D10-4BE0-9A51-2E609280FCD2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https://docs.oracle.com/javase/tutorial/essential/concurrency/pools.html</t>
        </r>
      </text>
    </comment>
    <comment ref="L153" authorId="1" shapeId="0" xr:uid="{2516A89E-B6AE-482C-8005-10AAE50E5307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https://docs.oracle.com/en/java/javase/15/docs/api/java.base/java/util/concurrent/locks/ReentrantLock.html</t>
        </r>
      </text>
    </comment>
    <comment ref="L154" authorId="1" shapeId="0" xr:uid="{75768214-3811-41B6-B320-2D01EAFC186F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https://docs.oracle.com/en/java/javase/15/docs/api/java.base/java/util/concurrent/CountDownLatch.html</t>
        </r>
      </text>
    </comment>
    <comment ref="L155" authorId="1" shapeId="0" xr:uid="{2CB970D4-6889-4D65-89AC-3B15AAD8D4BA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https://docs.oracle.com/javase/tutorial/essential/concurrency/forkjoin.html</t>
        </r>
      </text>
    </comment>
    <comment ref="L156" authorId="1" shapeId="0" xr:uid="{FA4CE40F-D116-44BD-8981-62CC375BEB00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https://docs.oracle.com/en/java/javase/15/docs/api/java.base/java/util/concurrent/CompletionStage.html</t>
        </r>
      </text>
    </comment>
    <comment ref="L157" authorId="1" shapeId="0" xr:uid="{794A7F0F-2D5C-40F0-BF21-7BC1143C5D3F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https://docs.oracle.com/en/java/javase/15/docs/api/java.base/java/util/concurrent/CompletableFuture.html</t>
        </r>
      </text>
    </comment>
    <comment ref="L158" authorId="1" shapeId="0" xr:uid="{1F12B225-0E39-48EC-850D-B8DD2501101A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https://docs.oracle.com/en/java/javase/15/docs/api/java.base/java/util/concurrent/locks/Lock.html</t>
        </r>
      </text>
    </comment>
    <comment ref="L159" authorId="1" shapeId="0" xr:uid="{EFDF0A21-D89B-4C7A-8BD5-CB2413E789E4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https://docs.oracle.com/en/java/javase/15/docs/api/java.base/java/util/concurrent/locks/Condition.html</t>
        </r>
      </text>
    </comment>
    <comment ref="L179" authorId="1" shapeId="0" xr:uid="{7F543E8D-920D-414F-9B3B-9145467F597D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Non-blocking I/O (Java)</t>
        </r>
      </text>
    </comment>
    <comment ref="L180" authorId="1" shapeId="0" xr:uid="{6B91C08C-1072-4C50-9440-1E36F71AC3FC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https://docs.oracle.com/en/java/javase/15/docs/api/java.base/java/nio/channels/Channel.html</t>
        </r>
      </text>
    </comment>
    <comment ref="L181" authorId="1" shapeId="0" xr:uid="{673E2FF1-331E-48FA-87E9-B7BFBA46B6A6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https://docs.oracle.com/en/java/javase/15/docs/api/java.base/java/nio/channels/SelectableChannel.html</t>
        </r>
      </text>
    </comment>
    <comment ref="L182" authorId="1" shapeId="0" xr:uid="{996657C1-79ED-44A8-939E-7D57FE987985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https://docs.oracle.com/en/java/javase/15/docs/api/java.base/java/nio/channels/Selector.html</t>
        </r>
      </text>
    </comment>
    <comment ref="J184" authorId="0" shapeId="0" xr:uid="{14C152B0-9D3E-43F2-8BB9-786E7D49C6E8}">
      <text>
        <r>
          <rPr>
            <sz val="9"/>
            <color rgb="FF000000"/>
            <rFont val="Verdana"/>
            <family val="2"/>
          </rPr>
          <t xml:space="preserve">https://www.jianshu.com/p/13bef2795c44
</t>
        </r>
        <r>
          <rPr>
            <sz val="9"/>
            <color rgb="FF000000"/>
            <rFont val="Verdana"/>
            <family val="2"/>
          </rPr>
          <t>#</t>
        </r>
        <r>
          <rPr>
            <sz val="9"/>
            <color rgb="FF000000"/>
            <rFont val="微软雅黑"/>
            <family val="2"/>
            <charset val="134"/>
          </rPr>
          <t>BIO</t>
        </r>
        <r>
          <rPr>
            <sz val="9"/>
            <color rgb="FF000000"/>
            <rFont val="微软雅黑"/>
            <family val="2"/>
            <charset val="134"/>
          </rPr>
          <t>通信缺陷</t>
        </r>
      </text>
    </comment>
    <comment ref="L185" authorId="1" shapeId="0" xr:uid="{97454F36-AF41-4FC0-9D54-59015594CD77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https://docs.oracle.com/javase/8/docs/technotes/guides/reflection/proxy.html</t>
        </r>
      </text>
    </comment>
    <comment ref="L186" authorId="1" shapeId="0" xr:uid="{90C7D565-2F74-4914-B78A-DB58B7B17F5C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https://docs.oracle.com/en/java/javase/15/docs/api/java.base/java/lang/reflect/InvocationHandler.html</t>
        </r>
      </text>
    </comment>
    <comment ref="L187" authorId="1" shapeId="0" xr:uid="{D5F12F27-DA48-4604-8E03-0CC92D765CB4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https://docs.oracle.com/en/java/javase/15/docs/api/java.base/java/lang/reflect/Proxy.html</t>
        </r>
      </text>
    </comment>
    <comment ref="L188" authorId="1" shapeId="0" xr:uid="{1F90257E-EEB0-4627-A825-21298EEE8FE2}">
      <text>
        <r>
          <rPr>
            <sz val="9"/>
            <color rgb="FF000000"/>
            <rFont val="Verdana"/>
            <family val="2"/>
          </rPr>
          <t xml:space="preserve">Java Doc:
</t>
        </r>
        <r>
          <rPr>
            <sz val="9"/>
            <color rgb="FF000000"/>
            <rFont val="Verdana"/>
            <family val="2"/>
          </rPr>
          <t>https://docs.oracle.com/en/java/javase/15/docs/api/java.base/java/io/Externalizable.html</t>
        </r>
      </text>
    </comment>
    <comment ref="J190" authorId="0" shapeId="0" xr:uid="{1831A354-E5A5-1E45-9732-79EE592CC870}">
      <text>
        <r>
          <rPr>
            <sz val="9"/>
            <color rgb="FF000000"/>
            <rFont val="Verdana"/>
            <family val="2"/>
          </rPr>
          <t>https://www.baeldung.com/java-nio-vs-nio-2</t>
        </r>
      </text>
    </comment>
    <comment ref="L214" authorId="0" shapeId="0" xr:uid="{8EAD8CF1-771F-46A6-9AFF-24BBEA89FA2D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Java Authentication and Authorization Service</t>
        </r>
      </text>
    </comment>
    <comment ref="J216" authorId="1" shapeId="0" xr:uid="{BE1BB589-9A3D-4D68-A280-4D3F4A9F8141}">
      <text>
        <r>
          <rPr>
            <sz val="9"/>
            <color rgb="FF000000"/>
            <rFont val="Verdana"/>
            <family val="34"/>
          </rPr>
          <t xml:space="preserve">https://itimetraveler.github.io/2016/12/27/%E3%80%90Java%E3%80%91%E6%B3%9B%E5%9E%8B%E4%B8%AD%20extends%20%E5%92%8C%20super%20%E7%9A%84%E5%8C%BA%E5%88%AB%EF%BC%9F/
</t>
        </r>
        <r>
          <rPr>
            <sz val="9"/>
            <color rgb="FF000000"/>
            <rFont val="Verdana"/>
            <family val="34"/>
          </rPr>
          <t xml:space="preserve">
</t>
        </r>
        <r>
          <rPr>
            <sz val="9"/>
            <color rgb="FF000000"/>
            <rFont val="Verdana"/>
            <family val="34"/>
          </rPr>
          <t>https://www.cnblogs.com/dldrjyy13102/p/8297045.html#</t>
        </r>
        <r>
          <rPr>
            <sz val="9"/>
            <color rgb="FF000000"/>
            <rFont val="宋体"/>
            <family val="34"/>
          </rPr>
          <t>什么是</t>
        </r>
        <r>
          <rPr>
            <sz val="9"/>
            <color rgb="FF000000"/>
            <rFont val="Verdana"/>
            <family val="34"/>
          </rPr>
          <t>PECS</t>
        </r>
        <r>
          <rPr>
            <sz val="9"/>
            <color rgb="FF000000"/>
            <rFont val="宋体"/>
            <family val="34"/>
          </rPr>
          <t>？</t>
        </r>
      </text>
    </comment>
    <comment ref="L236" authorId="0" shapeId="0" xr:uid="{ABD97984-7D0B-4DDF-AC49-8F09346EFCEE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Shell (computing)</t>
        </r>
      </text>
    </comment>
    <comment ref="H239" authorId="1" shapeId="0" xr:uid="{121FF00B-0D42-4F4E-9277-96CF18472B50}">
      <text>
        <r>
          <rPr>
            <sz val="9"/>
            <color rgb="FF000000"/>
            <rFont val="Verdana"/>
            <family val="2"/>
          </rPr>
          <t>Turing Course</t>
        </r>
      </text>
    </comment>
    <comment ref="L240" authorId="1" shapeId="0" xr:uid="{A9F08CCC-6241-4F75-8EFE-B2408D9DCE8F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Java Classloader</t>
        </r>
      </text>
    </comment>
    <comment ref="L248" authorId="1" shapeId="0" xr:uid="{F20DC73E-BD7B-47F6-B992-B7F8DBDE9886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Kubernetes</t>
        </r>
      </text>
    </comment>
    <comment ref="G249" authorId="2" shapeId="0" xr:uid="{F0B67B4E-68E7-442F-81EC-E4ADB386B988}">
      <text>
        <r>
          <rPr>
            <sz val="9"/>
            <color rgb="FF000000"/>
            <rFont val="微软雅黑"/>
            <family val="2"/>
            <charset val="134"/>
          </rPr>
          <t>Kubernetes</t>
        </r>
        <r>
          <rPr>
            <sz val="9"/>
            <color rgb="FF000000"/>
            <rFont val="微软雅黑"/>
            <family val="2"/>
            <charset val="134"/>
          </rPr>
          <t>权威指南</t>
        </r>
        <r>
          <rPr>
            <sz val="9"/>
            <color rgb="FF000000"/>
            <rFont val="微软雅黑"/>
            <family val="2"/>
            <charset val="134"/>
          </rPr>
          <t xml:space="preserve">
</t>
        </r>
        <r>
          <rPr>
            <sz val="9"/>
            <color rgb="FF000000"/>
            <rFont val="微软雅黑"/>
            <family val="2"/>
            <charset val="134"/>
          </rPr>
          <t>- 5.2 Service</t>
        </r>
        <r>
          <rPr>
            <sz val="9"/>
            <color rgb="FF000000"/>
            <rFont val="微软雅黑"/>
            <family val="2"/>
            <charset val="134"/>
          </rPr>
          <t>的概念和原理</t>
        </r>
        <r>
          <rPr>
            <sz val="9"/>
            <color rgb="FF000000"/>
            <rFont val="微软雅黑"/>
            <family val="2"/>
            <charset val="134"/>
          </rPr>
          <t xml:space="preserve">
</t>
        </r>
        <r>
          <rPr>
            <sz val="9"/>
            <color rgb="FF000000"/>
            <rFont val="微软雅黑"/>
            <family val="2"/>
            <charset val="134"/>
          </rPr>
          <t xml:space="preserve"># 5.2.4 </t>
        </r>
        <r>
          <rPr>
            <sz val="9"/>
            <color rgb="FF000000"/>
            <rFont val="微软雅黑"/>
            <family val="2"/>
            <charset val="134"/>
          </rPr>
          <t>将外部服务定义为</t>
        </r>
        <r>
          <rPr>
            <sz val="9"/>
            <color rgb="FF000000"/>
            <rFont val="微软雅黑"/>
            <family val="2"/>
            <charset val="134"/>
          </rPr>
          <t>Service</t>
        </r>
      </text>
    </comment>
    <comment ref="G250" authorId="2" shapeId="0" xr:uid="{43CD22E8-3BFF-46BB-B6E6-D48785457E60}">
      <text>
        <r>
          <rPr>
            <sz val="9"/>
            <color rgb="FF000000"/>
            <rFont val="微软雅黑"/>
            <family val="2"/>
            <charset val="134"/>
          </rPr>
          <t>Kubernetes权威指南
- 5.2.5 Service的类型
    3. LoadBalancer类型</t>
        </r>
      </text>
    </comment>
    <comment ref="G251" authorId="2" shapeId="0" xr:uid="{F05C8F60-AB27-4E87-AF91-68A29281B419}">
      <text>
        <r>
          <rPr>
            <sz val="9"/>
            <color rgb="FF000000"/>
            <rFont val="微软雅黑"/>
            <family val="2"/>
            <charset val="134"/>
          </rPr>
          <t>Kubernetes</t>
        </r>
        <r>
          <rPr>
            <sz val="9"/>
            <color rgb="FF000000"/>
            <rFont val="微软雅黑"/>
            <family val="2"/>
            <charset val="134"/>
          </rPr>
          <t>权威指南</t>
        </r>
        <r>
          <rPr>
            <sz val="9"/>
            <color rgb="FF000000"/>
            <rFont val="微软雅黑"/>
            <family val="2"/>
            <charset val="134"/>
          </rPr>
          <t xml:space="preserve">
</t>
        </r>
        <r>
          <rPr>
            <sz val="9"/>
            <color rgb="FF000000"/>
            <rFont val="微软雅黑"/>
            <family val="2"/>
            <charset val="134"/>
          </rPr>
          <t>5.2.1 Service</t>
        </r>
        <r>
          <rPr>
            <sz val="9"/>
            <color rgb="FF000000"/>
            <rFont val="微软雅黑"/>
            <family val="2"/>
            <charset val="134"/>
          </rPr>
          <t>和</t>
        </r>
        <r>
          <rPr>
            <sz val="9"/>
            <color rgb="FF000000"/>
            <rFont val="微软雅黑"/>
            <family val="2"/>
            <charset val="134"/>
          </rPr>
          <t>Endpoint</t>
        </r>
        <r>
          <rPr>
            <sz val="9"/>
            <color rgb="FF000000"/>
            <rFont val="微软雅黑"/>
            <family val="2"/>
            <charset val="134"/>
          </rPr>
          <t>概述</t>
        </r>
      </text>
    </comment>
    <comment ref="G278" authorId="2" shapeId="0" xr:uid="{F65C84F1-5F33-4B2C-B042-05BE1FEFF703}">
      <text>
        <r>
          <rPr>
            <sz val="9"/>
            <color rgb="FF000000"/>
            <rFont val="微软雅黑"/>
            <family val="2"/>
            <charset val="134"/>
          </rPr>
          <t>Kubernetes权威指南（上）
- 4.6 Job: 批处理任务
# 4.6.2 P280</t>
        </r>
      </text>
    </comment>
    <comment ref="G279" authorId="2" shapeId="0" xr:uid="{636C327C-B6BE-4CF8-9943-95E6F2B5B261}">
      <text>
        <r>
          <rPr>
            <sz val="9"/>
            <color rgb="FF000000"/>
            <rFont val="微软雅黑"/>
            <family val="2"/>
            <charset val="134"/>
          </rPr>
          <t>Kubernetes权威指南（上）
4.7 CronJob: 定时任务</t>
        </r>
      </text>
    </comment>
    <comment ref="J290" authorId="1" shapeId="0" xr:uid="{449CA6D5-124A-6245-ADAB-76DC0938E5C8}">
      <text>
        <r>
          <rPr>
            <sz val="9"/>
            <color rgb="FF000000"/>
            <rFont val="Verdana"/>
            <family val="2"/>
          </rPr>
          <t>https://adil.medium.com/how-do-containers-communicate-via-localhost-in-a-kubernetes-pod-d9e193844b9d</t>
        </r>
      </text>
    </comment>
    <comment ref="J291" authorId="1" shapeId="0" xr:uid="{8FF57B26-2A66-4B4E-87A5-3F9D22AB5CDE}">
      <text>
        <r>
          <rPr>
            <sz val="9"/>
            <color rgb="FF000000"/>
            <rFont val="Verdana"/>
            <family val="2"/>
          </rPr>
          <t>https://mvallim.github.io/kubernetes-under-the-hood/documentation/kube-flannel.html</t>
        </r>
      </text>
    </comment>
    <comment ref="G296" authorId="2" shapeId="0" xr:uid="{3AF1C802-DD61-4B29-90B8-018A4BC91FDE}">
      <text>
        <r>
          <rPr>
            <sz val="9"/>
            <color rgb="FF000000"/>
            <rFont val="微软雅黑"/>
            <family val="2"/>
            <charset val="134"/>
          </rPr>
          <t>Kubernetes权威指南（上）
- 5.6 Ingress 7层路由机制
  - 5.6.1-5.6.4</t>
        </r>
      </text>
    </comment>
    <comment ref="J298" authorId="1" shapeId="0" xr:uid="{037EFA2C-647D-4CB1-B73B-5AC15EED8E48}">
      <text>
        <r>
          <rPr>
            <sz val="9"/>
            <color rgb="FF000000"/>
            <rFont val="Verdana"/>
            <family val="2"/>
          </rPr>
          <t>https://adil.medium.com/what-is-the-purpose-of-the-pause-container-2ce70fa3d059</t>
        </r>
      </text>
    </comment>
    <comment ref="I300" authorId="1" shapeId="0" xr:uid="{FF7F44C4-BDC8-A247-9FA8-CA8646A60169}">
      <text>
        <r>
          <rPr>
            <sz val="9"/>
            <color rgb="FF000000"/>
            <rFont val="Verdana"/>
            <family val="2"/>
          </rPr>
          <t xml:space="preserve">https://kubernetes.io/docs/tasks/configmap-secret/managing-secret-using-kubectl/
</t>
        </r>
        <r>
          <rPr>
            <sz val="9"/>
            <color rgb="FF000000"/>
            <rFont val="Verdana"/>
            <family val="2"/>
          </rPr>
          <t xml:space="preserve">---
</t>
        </r>
        <r>
          <rPr>
            <sz val="9"/>
            <color rgb="FF000000"/>
            <rFont val="Verdana"/>
            <family val="2"/>
          </rPr>
          <t>https://kubernetes.io/docs/tasks/configmap-secret/managing-secret-using-config-file/</t>
        </r>
      </text>
    </comment>
    <comment ref="G303" authorId="2" shapeId="0" xr:uid="{6875CA0F-D4D9-40EF-B675-8F1785269E65}">
      <text>
        <r>
          <rPr>
            <sz val="9"/>
            <color rgb="FF000000"/>
            <rFont val="微软雅黑"/>
            <family val="2"/>
            <charset val="134"/>
          </rPr>
          <t>Kubernetes权威指南（下）
5. Kubernetes存储原理和实践
- 5.1 存储机制概述
- 5.2 临时卷详解
  - 5.2.1 emptyDir</t>
        </r>
      </text>
    </comment>
    <comment ref="G304" authorId="2" shapeId="0" xr:uid="{1E43F771-8B59-4ED7-8E1A-0314D05957C9}">
      <text>
        <r>
          <rPr>
            <sz val="9"/>
            <color rgb="FF000000"/>
            <rFont val="微软雅黑"/>
            <family val="2"/>
            <charset val="134"/>
          </rPr>
          <t>Kubernetes权威指南（下）
5. Kubernetes存储原理和实践
- 5.2 临时卷详解
  - 5.2.1 emptyDir</t>
        </r>
      </text>
    </comment>
    <comment ref="L305" authorId="1" shapeId="0" xr:uid="{4B10A148-F861-4044-8371-C0A16E2FD27A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PostgreSQL</t>
        </r>
      </text>
    </comment>
    <comment ref="L306" authorId="0" shapeId="0" xr:uid="{88653510-B64A-4CDB-A22D-782CD33DDCC4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https://www.postgresql.org/docs/13/datatype-json.html#index</t>
        </r>
      </text>
    </comment>
    <comment ref="L307" authorId="0" shapeId="0" xr:uid="{661BFFAA-776E-4A40-833E-BA190399A518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https://www.postgresql.org/docs/current/explicit-locking.html#ADVISORY-LOCKS</t>
        </r>
      </text>
    </comment>
    <comment ref="J309" authorId="1" shapeId="0" xr:uid="{7F5CE870-7443-4A30-85AC-00EBD9201587}">
      <text>
        <r>
          <rPr>
            <sz val="9"/>
            <color rgb="FF000000"/>
            <rFont val="Verdana"/>
            <family val="2"/>
          </rPr>
          <t>https://www.cnblogs.com/xiaobai1226/p/7652093.html#MultiFieldQueryParser</t>
        </r>
      </text>
    </comment>
    <comment ref="L316" authorId="1" shapeId="0" xr:uid="{2A83ACBC-893C-4DC4-A4B0-A68E2D64D5D4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Concurrent computing</t>
        </r>
      </text>
    </comment>
    <comment ref="L319" authorId="1" shapeId="0" xr:uid="{06478210-CC29-4406-8E09-0E5AFF38E39B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Thread pool</t>
        </r>
      </text>
    </comment>
    <comment ref="J322" authorId="1" shapeId="0" xr:uid="{0EE0C80D-7C1C-4743-9BFF-C8FF7B510FA7}">
      <text>
        <r>
          <rPr>
            <sz val="9"/>
            <color rgb="FF000000"/>
            <rFont val="Verdana"/>
            <family val="2"/>
          </rPr>
          <t xml:space="preserve">https://baddotrobot.com/blog/2013/06/01/optimum-number-of-threads/
</t>
        </r>
        <r>
          <rPr>
            <sz val="9"/>
            <color rgb="FF000000"/>
            <rFont val="Verdana"/>
            <family val="2"/>
          </rPr>
          <t xml:space="preserve">
</t>
        </r>
        <r>
          <rPr>
            <sz val="9"/>
            <color rgb="FF000000"/>
            <rFont val="Verdana"/>
            <family val="2"/>
          </rPr>
          <t xml:space="preserve">---
</t>
        </r>
        <r>
          <rPr>
            <sz val="9"/>
            <color rgb="FF000000"/>
            <rFont val="Verdana"/>
            <family val="2"/>
          </rPr>
          <t xml:space="preserve">
</t>
        </r>
        <r>
          <rPr>
            <sz val="9"/>
            <color rgb="FF000000"/>
            <rFont val="Verdana"/>
            <family val="2"/>
          </rPr>
          <t>https://engineering.zalando.com/posts/2019/04/how-to-set-an-ideal-thread-pool-size.html</t>
        </r>
      </text>
    </comment>
    <comment ref="H331" authorId="1" shapeId="0" xr:uid="{03492A98-348E-4298-A5B7-C9D369319948}">
      <text>
        <r>
          <rPr>
            <sz val="9"/>
            <color rgb="FF000000"/>
            <rFont val="Verdana"/>
            <family val="2"/>
          </rPr>
          <t>Safari Training</t>
        </r>
      </text>
    </comment>
    <comment ref="F342" authorId="1" shapeId="0" xr:uid="{A5B4CD50-A668-DD40-B66F-22D80CDD5D0B}">
      <text>
        <r>
          <rPr>
            <sz val="9"/>
            <color rgb="FF000000"/>
            <rFont val="Verdana"/>
            <family val="2"/>
          </rPr>
          <t>https://www.extlight.com/gateway-basic.html</t>
        </r>
      </text>
    </comment>
    <comment ref="J342" authorId="1" shapeId="0" xr:uid="{D6777A28-E5AD-D44E-863C-204253AD4BCB}">
      <text>
        <r>
          <rPr>
            <sz val="9"/>
            <color rgb="FF000000"/>
            <rFont val="Verdana"/>
            <family val="2"/>
          </rPr>
          <t>https://www.extlight.com/gateway-basic.html</t>
        </r>
      </text>
    </comment>
    <comment ref="J355" authorId="1" shapeId="0" xr:uid="{D06810AF-FB33-D643-B15C-E8EB6E47F8F4}">
      <text>
        <r>
          <rPr>
            <sz val="9"/>
            <color rgb="FF000000"/>
            <rFont val="Verdana"/>
            <family val="2"/>
          </rPr>
          <t>https://www.baeldung.com/spring-boot-logging#log4j2-without-slf4j</t>
        </r>
      </text>
    </comment>
    <comment ref="L356" authorId="0" shapeId="0" xr:uid="{E2CE3D00-7B7A-48EA-88D3-F488E64EB38F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Elasticsearch</t>
        </r>
      </text>
    </comment>
    <comment ref="I374" authorId="1" shapeId="0" xr:uid="{BF3C3C90-5C23-48FB-AAF1-CF6B1F069498}">
      <text>
        <r>
          <rPr>
            <sz val="9"/>
            <color rgb="FF000000"/>
            <rFont val="Verdana"/>
            <family val="2"/>
          </rPr>
          <t>https://redis.io/docs/about/license/#Limitations</t>
        </r>
      </text>
    </comment>
    <comment ref="K374" authorId="1" shapeId="0" xr:uid="{0666F966-8DF4-4A53-B1D7-96CEA898137E}">
      <text>
        <r>
          <rPr>
            <sz val="9"/>
            <color rgb="FF000000"/>
            <rFont val="Verdana"/>
            <family val="34"/>
          </rPr>
          <t>https://redis.io/docs/getting-started/#explore-redis-using-the-cli</t>
        </r>
      </text>
    </comment>
    <comment ref="L374" authorId="1" shapeId="0" xr:uid="{092AAC36-EE44-4BEB-B15B-D69D0C44EE15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https://en.wikipedia.org/wiki/Redis</t>
        </r>
      </text>
    </comment>
    <comment ref="J380" authorId="1" shapeId="0" xr:uid="{0A37BC2E-F1CD-439B-A462-266BA34E88DA}">
      <text>
        <r>
          <rPr>
            <sz val="9"/>
            <color rgb="FF000000"/>
            <rFont val="Verdana"/>
            <family val="2"/>
          </rPr>
          <t>https://www.enjoyalgorithms.com/blog/cache-aside-caching-strategy</t>
        </r>
      </text>
    </comment>
    <comment ref="I440" authorId="0" shapeId="0" xr:uid="{C3E6FA27-420E-D946-B1B1-E6894E550FBE}">
      <text>
        <r>
          <rPr>
            <sz val="9"/>
            <color rgb="FF000000"/>
            <rFont val="Verdana"/>
            <family val="2"/>
          </rPr>
          <t>https://docs.github.com/en/actions/using-workflows/workflow-syntax-for-github-actions#on</t>
        </r>
      </text>
    </comment>
    <comment ref="L447" authorId="1" shapeId="0" xr:uid="{C6605A56-E1A0-41CB-B8F6-6360CDE35CAE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Jenkins (software)</t>
        </r>
      </text>
    </comment>
    <comment ref="L448" authorId="0" shapeId="0" xr:uid="{280B2C0D-FF44-4B29-BC8C-0FD2F7DFD590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https://www.jenkins.io/doc/book/pipeline/</t>
        </r>
      </text>
    </comment>
    <comment ref="J450" authorId="1" shapeId="0" xr:uid="{A7454DF1-934A-7D49-8DD1-30EA2D8638D4}">
      <text>
        <r>
          <rPr>
            <sz val="9"/>
            <color rgb="FF000000"/>
            <rFont val="Verdana"/>
            <family val="2"/>
          </rPr>
          <t>https://www.baeldung.com/spring-mybatis#introduction-2</t>
        </r>
      </text>
    </comment>
    <comment ref="L469" authorId="1" shapeId="0" xr:uid="{97557404-BDC0-2B4F-804D-8CA6E6D88756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https://en.wikipedia.org/wiki/OAuth#Types</t>
        </r>
      </text>
    </comment>
    <comment ref="L471" authorId="1" shapeId="0" xr:uid="{7FD264E1-92DD-4D90-97FE-7283E87117C1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Single sign-on</t>
        </r>
      </text>
    </comment>
    <comment ref="J474" authorId="1" shapeId="0" xr:uid="{19F1442F-7F1D-5F4F-BAD4-375A08F789B7}">
      <text>
        <r>
          <rPr>
            <sz val="9"/>
            <color rgb="FF000000"/>
            <rFont val="Verdana"/>
            <family val="2"/>
          </rPr>
          <t>https://developer.okta.com/blog/2018/05/24/what-is-the-oauth2-implicit-grant-type</t>
        </r>
      </text>
    </comment>
    <comment ref="F482" authorId="0" shapeId="0" xr:uid="{5084A732-A9C4-4706-A854-8CD1899C2331}">
      <text>
        <r>
          <rPr>
            <sz val="9"/>
            <color rgb="FF000000"/>
            <rFont val="Verdana"/>
            <family val="2"/>
          </rPr>
          <t>Project of Applet Upgrade</t>
        </r>
      </text>
    </comment>
    <comment ref="L482" authorId="1" shapeId="0" xr:uid="{CD2DD406-FDBA-4A5A-B2A5-C9DC5C337EAB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Amazon CloudFront</t>
        </r>
      </text>
    </comment>
    <comment ref="I483" authorId="0" shapeId="0" xr:uid="{12209D54-C2CD-42D7-B160-8AD5922B2BCE}">
      <text>
        <r>
          <rPr>
            <sz val="9"/>
            <color rgb="FF000000"/>
            <rFont val="Verdana"/>
            <family val="2"/>
          </rPr>
          <t>https://docs.aws.amazon.com/msk/latest/developerguide/produce-consume.html</t>
        </r>
      </text>
    </comment>
    <comment ref="L483" authorId="1" shapeId="0" xr:uid="{1C45217A-81C0-4B86-8F09-B268BBA4A7EC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https://aws.amazon.com/msk/</t>
        </r>
      </text>
    </comment>
    <comment ref="I484" authorId="0" shapeId="0" xr:uid="{03CB36F0-3335-4780-AA34-1219D2768513}">
      <text>
        <r>
          <rPr>
            <sz val="9"/>
            <color rgb="FF000000"/>
            <rFont val="Verdana"/>
            <family val="2"/>
          </rPr>
          <t>https://docs.aws.amazon.com/lambda/latest/dg/welcome.html#welcome-first-time-user</t>
        </r>
      </text>
    </comment>
    <comment ref="L484" authorId="1" shapeId="0" xr:uid="{A72EE4E6-92FF-4EDD-B34D-26765929DE08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AWS Lambda</t>
        </r>
      </text>
    </comment>
    <comment ref="I485" authorId="0" shapeId="0" xr:uid="{4F5EE215-DC76-4C06-BC5D-6C1F1D6446B8}">
      <text>
        <r>
          <rPr>
            <sz val="9"/>
            <color rgb="FF000000"/>
            <rFont val="Verdana"/>
            <family val="2"/>
          </rPr>
          <t>https://docs.aws.amazon.com/lambda/latest/dg/python-package.html#python-package-venv</t>
        </r>
      </text>
    </comment>
    <comment ref="L485" authorId="1" shapeId="0" xr:uid="{4BAFF7F0-56B8-4A44-BE97-074B4A601876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https://docs.aws.amazon.com/lambda/latest/dg/lambda-python.html</t>
        </r>
      </text>
    </comment>
    <comment ref="L487" authorId="1" shapeId="0" xr:uid="{69515598-1000-463F-8C7E-E29CA5189CFF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https://aws.amazon.com/about-aws/global-infrastructure/regions_az/?p=ngi&amp;loc=2</t>
        </r>
      </text>
    </comment>
    <comment ref="L496" authorId="1" shapeId="0" xr:uid="{8D7A156B-D807-45EC-AD41-D7B11800A4E5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https://docs.aws.amazon.com/vpc/latest/userguide/VPC_Subnets.html#vpc-subnet-basics</t>
        </r>
      </text>
    </comment>
    <comment ref="L506" authorId="1" shapeId="0" xr:uid="{342E6DE7-4557-904B-BAFB-F6ACBEED025C}">
      <text>
        <r>
          <rPr>
            <sz val="9"/>
            <color rgb="FF000000"/>
            <rFont val="Verdana"/>
            <family val="2"/>
          </rPr>
          <t>https://spring.io/projects/spring-cloud#Generating A New Spring Cloud Project</t>
        </r>
      </text>
    </comment>
    <comment ref="G510" authorId="1" shapeId="0" xr:uid="{68B86079-31A3-4528-8012-7ADA89E5867E}">
      <text>
        <r>
          <rPr>
            <sz val="9"/>
            <color rgb="FF000000"/>
            <rFont val="Verdana"/>
            <family val="2"/>
          </rPr>
          <t>Head First Data Analysis</t>
        </r>
      </text>
    </comment>
    <comment ref="L511" authorId="1" shapeId="0" xr:uid="{C1A09C0B-2B42-4FD2-BBC1-56AB8BB2C2DA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Pivot table</t>
        </r>
      </text>
    </comment>
    <comment ref="H547" authorId="1" shapeId="0" xr:uid="{CDC1D087-C49B-469B-A163-644D8D9F2AE2}">
      <text>
        <r>
          <rPr>
            <sz val="9"/>
            <color rgb="FF000000"/>
            <rFont val="Verdana"/>
            <family val="2"/>
          </rPr>
          <t>Turing Course</t>
        </r>
      </text>
    </comment>
    <comment ref="F556" authorId="0" shapeId="0" xr:uid="{68CC5B43-9238-4804-AA03-52CACF7099EF}">
      <text>
        <r>
          <rPr>
            <sz val="9"/>
            <color rgb="FF000000"/>
            <rFont val="Verdana"/>
            <family val="2"/>
          </rPr>
          <t>Pages hosted in S3</t>
        </r>
      </text>
    </comment>
    <comment ref="J556" authorId="0" shapeId="0" xr:uid="{92022624-69AA-EE4F-AE1A-A33735C4F839}">
      <text>
        <r>
          <rPr>
            <sz val="9"/>
            <color rgb="FF000000"/>
            <rFont val="Verdana"/>
            <family val="2"/>
          </rPr>
          <t>https://developer.mozilla.org/en-US/docs/Glossary/Preflight_request</t>
        </r>
      </text>
    </comment>
    <comment ref="L556" authorId="1" shapeId="0" xr:uid="{ED8299DA-5E5B-4B09-BBE1-61879D38FA91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Cross-origin resource sharing</t>
        </r>
      </text>
    </comment>
    <comment ref="L558" authorId="1" shapeId="0" xr:uid="{7127FC0F-7D4A-454E-9F5D-10AC679B5945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Simple Authentication and Security Layer</t>
        </r>
      </text>
    </comment>
    <comment ref="L568" authorId="1" shapeId="0" xr:uid="{3B4F41F7-5ECB-F94C-8C5B-D470F63A0548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CNAME record</t>
        </r>
      </text>
    </comment>
    <comment ref="L569" authorId="1" shapeId="0" xr:uid="{46DB1236-DAD6-4B5D-BF93-48696F39CC02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HTTP cookie</t>
        </r>
      </text>
    </comment>
    <comment ref="L571" authorId="0" shapeId="0" xr:uid="{3625BF67-2149-48BF-A677-00D55676D5B3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Classless Inter-Domain Routing</t>
        </r>
      </text>
    </comment>
    <comment ref="I596" authorId="1" shapeId="0" xr:uid="{7EF3FCA5-7674-4B10-952C-6F640A66F875}">
      <text>
        <r>
          <rPr>
            <sz val="9"/>
            <color rgb="FF000000"/>
            <rFont val="Verdana"/>
            <family val="2"/>
          </rPr>
          <t>https://docs.confluent.io/kafka/introduction.html</t>
        </r>
      </text>
    </comment>
    <comment ref="L596" authorId="0" shapeId="0" xr:uid="{6567F4A8-AAD6-4803-A7E2-8795732BB0BD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 xml:space="preserve">https://en.wikipedia.org/wiki/Apache_Kafka
</t>
        </r>
        <r>
          <rPr>
            <sz val="9"/>
            <color rgb="FF000000"/>
            <rFont val="Verdana"/>
            <family val="2"/>
          </rPr>
          <t xml:space="preserve">
</t>
        </r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https://kafka.apache.org/intro</t>
        </r>
      </text>
    </comment>
    <comment ref="I599" authorId="1" shapeId="0" xr:uid="{2E812756-EEB1-45AD-8243-34250339FFEF}">
      <text>
        <r>
          <rPr>
            <sz val="9"/>
            <color rgb="FF000000"/>
            <rFont val="Verdana"/>
            <family val="2"/>
          </rPr>
          <t>https://kafka.apache.org/documentation/#security_ssl_key</t>
        </r>
      </text>
    </comment>
    <comment ref="J607" authorId="1" shapeId="0" xr:uid="{6911FA6F-5B32-40E4-8F39-FD493A96316E}">
      <text>
        <r>
          <rPr>
            <sz val="9"/>
            <color rgb="FF000000"/>
            <rFont val="Verdana"/>
            <family val="2"/>
          </rPr>
          <t>https://developer.ibm.com/tutorials/kafka-authn-authz/#producing-to-topics10</t>
        </r>
      </text>
    </comment>
    <comment ref="I608" authorId="1" shapeId="0" xr:uid="{27A66BC7-1E3E-4A94-930D-544BC6AD6EC8}">
      <text>
        <r>
          <rPr>
            <sz val="9"/>
            <color rgb="FF000000"/>
            <rFont val="Verdana"/>
            <family val="2"/>
          </rPr>
          <t>https://kafka.apache.org/documentation/#security_sasl_multimechanism</t>
        </r>
      </text>
    </comment>
    <comment ref="J608" authorId="1" shapeId="0" xr:uid="{BE936287-0D06-F549-B37A-C93948BB6F5E}">
      <text>
        <r>
          <rPr>
            <sz val="9"/>
            <color rgb="FF000000"/>
            <rFont val="Verdana"/>
            <family val="2"/>
          </rPr>
          <t>https://developer.ibm.com/tutorials/kafka-authn-authz/</t>
        </r>
      </text>
    </comment>
    <comment ref="J644" authorId="1" shapeId="0" xr:uid="{4143DB93-2A76-4B5D-943C-74C47B899EB5}">
      <text>
        <r>
          <rPr>
            <sz val="9"/>
            <color rgb="FF000000"/>
            <rFont val="Verdana"/>
            <family val="2"/>
          </rPr>
          <t>https://github.com/google/gson/blob/master/UserGuide.md#TOC-Serializing-and-Deserializing-Generic-Types</t>
        </r>
      </text>
    </comment>
    <comment ref="I655" authorId="0" shapeId="0" xr:uid="{4EC3BFE1-5507-494A-8767-C7DDA9941C57}">
      <text>
        <r>
          <rPr>
            <sz val="9"/>
            <color rgb="FF000000"/>
            <rFont val="Verdana"/>
            <family val="2"/>
          </rPr>
          <t>https://developer.salesforce.com/docs/atlas.en-us.api_streaming.meta/api_streaming/code_sample_java_client_intro.htm</t>
        </r>
      </text>
    </comment>
    <comment ref="L655" authorId="0" shapeId="0" xr:uid="{0B24C6A6-D16D-452D-8A64-04E22F5F718C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>https://developer.salesforce.com/docs/atlas.en-us.api_streaming.meta/api_streaming</t>
        </r>
      </text>
    </comment>
    <comment ref="L656" authorId="0" shapeId="0" xr:uid="{C75661FA-338A-420E-9315-B98DC58FDA24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Salesforce Marketing Cloud</t>
        </r>
      </text>
    </comment>
    <comment ref="J667" authorId="0" shapeId="0" xr:uid="{D75ABC09-A83E-47DD-93DC-1B99EC45C1F7}">
      <text>
        <r>
          <rPr>
            <sz val="9"/>
            <color rgb="FF000000"/>
            <rFont val="Verdana"/>
            <family val="2"/>
          </rPr>
          <t>https://betterprogramming.pub/architecting-distributed-systems-the-importance-of-idempotence-138722a6b88e</t>
        </r>
      </text>
    </comment>
    <comment ref="J669" authorId="0" shapeId="0" xr:uid="{E7F7AB17-F6FA-4371-863D-5D62939E94D7}">
      <text>
        <r>
          <rPr>
            <sz val="9"/>
            <color rgb="FF000000"/>
            <rFont val="Verdana"/>
            <family val="34"/>
          </rPr>
          <t>https://www.iteye.com/blog/javatar-1123915</t>
        </r>
        <r>
          <rPr>
            <sz val="9"/>
            <color rgb="FF000000"/>
            <rFont val="Verdana"/>
            <family val="34"/>
          </rPr>
          <t xml:space="preserve">
</t>
        </r>
        <r>
          <rPr>
            <sz val="9"/>
            <color rgb="FF000000"/>
            <rFont val="Verdana"/>
            <family val="34"/>
          </rPr>
          <t xml:space="preserve">
</t>
        </r>
        <r>
          <rPr>
            <sz val="9"/>
            <color rgb="FF000000"/>
            <rFont val="Verdana"/>
            <family val="34"/>
          </rPr>
          <t xml:space="preserve">---
</t>
        </r>
        <r>
          <rPr>
            <sz val="9"/>
            <color rgb="FF000000"/>
            <rFont val="Verdana"/>
            <family val="34"/>
          </rPr>
          <t xml:space="preserve">
</t>
        </r>
        <r>
          <rPr>
            <sz val="9"/>
            <color rgb="FF000000"/>
            <rFont val="Verdana"/>
            <family val="34"/>
          </rPr>
          <t>https://zhuanlan.zhihu.com/p/374901408#</t>
        </r>
        <r>
          <rPr>
            <sz val="9"/>
            <color rgb="FF000000"/>
            <rFont val="宋体"/>
            <family val="34"/>
          </rPr>
          <t>（</t>
        </r>
        <r>
          <rPr>
            <sz val="9"/>
            <color rgb="FF000000"/>
            <rFont val="Verdana"/>
            <family val="34"/>
          </rPr>
          <t>2</t>
        </r>
        <r>
          <rPr>
            <sz val="9"/>
            <color rgb="FF000000"/>
            <rFont val="宋体"/>
            <family val="34"/>
          </rPr>
          <t>）如何实现路由</t>
        </r>
      </text>
    </comment>
    <comment ref="L692" authorId="1" shapeId="0" xr:uid="{4ECEC460-EB8C-4700-BE2B-B5B81100E9BB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Stream processing</t>
        </r>
      </text>
    </comment>
    <comment ref="J696" authorId="1" shapeId="0" xr:uid="{8B27FC6C-3201-EA4A-A0DF-8BCD9C82D6AA}">
      <text>
        <r>
          <rPr>
            <sz val="9"/>
            <color rgb="FF000000"/>
            <rFont val="Verdana"/>
            <family val="2"/>
          </rPr>
          <t>https://learnsql.com/blog/query-parent-child-tree/#parent-child-tree-structure-in-relational-databases</t>
        </r>
      </text>
    </comment>
    <comment ref="G727" authorId="2" shapeId="0" xr:uid="{0037FC18-F5B6-440E-8095-C3B4350A1816}">
      <text>
        <r>
          <rPr>
            <sz val="9"/>
            <color rgb="FF000000"/>
            <rFont val="微软雅黑"/>
            <family val="2"/>
            <charset val="134"/>
          </rPr>
          <t>亿级流量网站架构核心技术</t>
        </r>
        <r>
          <rPr>
            <sz val="9"/>
            <color rgb="FF000000"/>
            <rFont val="微软雅黑"/>
            <family val="2"/>
            <charset val="134"/>
          </rPr>
          <t xml:space="preserve">:
</t>
        </r>
        <r>
          <rPr>
            <sz val="9"/>
            <color rgb="FF000000"/>
            <rFont val="微软雅黑"/>
            <family val="2"/>
            <charset val="134"/>
          </rPr>
          <t xml:space="preserve">- 14.5 </t>
        </r>
        <r>
          <rPr>
            <sz val="9"/>
            <color rgb="FF000000"/>
            <rFont val="微软雅黑"/>
            <family val="2"/>
            <charset val="134"/>
          </rPr>
          <t>数据库拆分</t>
        </r>
        <r>
          <rPr>
            <sz val="9"/>
            <color rgb="FF000000"/>
            <rFont val="微软雅黑"/>
            <family val="2"/>
            <charset val="134"/>
          </rPr>
          <t xml:space="preserve">
</t>
        </r>
        <r>
          <rPr>
            <sz val="9"/>
            <color rgb="FF000000"/>
            <rFont val="微软雅黑"/>
            <family val="2"/>
            <charset val="134"/>
          </rPr>
          <t xml:space="preserve">- 14.6 </t>
        </r>
        <r>
          <rPr>
            <sz val="9"/>
            <color rgb="FF000000"/>
            <rFont val="微软雅黑"/>
            <family val="2"/>
            <charset val="134"/>
          </rPr>
          <t>数据异构</t>
        </r>
      </text>
    </comment>
    <comment ref="G728" authorId="2" shapeId="0" xr:uid="{2474EFE8-2A11-4AAA-B63A-A0A8E38EDF26}">
      <text>
        <r>
          <rPr>
            <sz val="9"/>
            <color rgb="FF000000"/>
            <rFont val="微软雅黑"/>
            <family val="2"/>
            <charset val="134"/>
          </rPr>
          <t>亿级流量网站架构核心技术</t>
        </r>
        <r>
          <rPr>
            <sz val="9"/>
            <color rgb="FF000000"/>
            <rFont val="微软雅黑"/>
            <family val="2"/>
            <charset val="134"/>
          </rPr>
          <t xml:space="preserve">:
</t>
        </r>
        <r>
          <rPr>
            <sz val="9"/>
            <color rgb="FF000000"/>
            <rFont val="微软雅黑"/>
            <family val="2"/>
            <charset val="134"/>
          </rPr>
          <t xml:space="preserve">- 14.5.3 </t>
        </r>
        <r>
          <rPr>
            <sz val="9"/>
            <color rgb="FF000000"/>
            <rFont val="微软雅黑"/>
            <family val="2"/>
            <charset val="134"/>
          </rPr>
          <t>使用</t>
        </r>
        <r>
          <rPr>
            <sz val="9"/>
            <color rgb="FF000000"/>
            <rFont val="微软雅黑"/>
            <family val="2"/>
            <charset val="134"/>
          </rPr>
          <t>sharding-jdbc</t>
        </r>
        <r>
          <rPr>
            <sz val="9"/>
            <color rgb="FF000000"/>
            <rFont val="微软雅黑"/>
            <family val="2"/>
            <charset val="134"/>
          </rPr>
          <t>分库分表</t>
        </r>
        <r>
          <rPr>
            <sz val="9"/>
            <color rgb="FF000000"/>
            <rFont val="微软雅黑"/>
            <family val="2"/>
            <charset val="134"/>
          </rPr>
          <t xml:space="preserve">
</t>
        </r>
        <r>
          <rPr>
            <sz val="9"/>
            <color rgb="FF000000"/>
            <rFont val="微软雅黑"/>
            <family val="2"/>
            <charset val="134"/>
          </rPr>
          <t>- 14.5.4 sharding-jdbc</t>
        </r>
        <r>
          <rPr>
            <sz val="9"/>
            <color rgb="FF000000"/>
            <rFont val="微软雅黑"/>
            <family val="2"/>
            <charset val="134"/>
          </rPr>
          <t>分库分表配置</t>
        </r>
        <r>
          <rPr>
            <sz val="9"/>
            <color rgb="FF000000"/>
            <rFont val="微软雅黑"/>
            <family val="2"/>
            <charset val="134"/>
          </rPr>
          <t xml:space="preserve">
</t>
        </r>
        <r>
          <rPr>
            <sz val="9"/>
            <color rgb="FF000000"/>
            <rFont val="微软雅黑"/>
            <family val="2"/>
            <charset val="134"/>
          </rPr>
          <t xml:space="preserve">- 14.5.5 </t>
        </r>
        <r>
          <rPr>
            <sz val="9"/>
            <color rgb="FF000000"/>
            <rFont val="微软雅黑"/>
            <family val="2"/>
            <charset val="134"/>
          </rPr>
          <t>使用</t>
        </r>
        <r>
          <rPr>
            <sz val="9"/>
            <color rgb="FF000000"/>
            <rFont val="微软雅黑"/>
            <family val="2"/>
            <charset val="134"/>
          </rPr>
          <t>sharding-jdbc</t>
        </r>
        <r>
          <rPr>
            <sz val="9"/>
            <color rgb="FF000000"/>
            <rFont val="微软雅黑"/>
            <family val="2"/>
            <charset val="134"/>
          </rPr>
          <t>读写分离</t>
        </r>
      </text>
    </comment>
    <comment ref="G729" authorId="2" shapeId="0" xr:uid="{339DB8D7-6FEC-4270-8714-20094543EA4E}">
      <text>
        <r>
          <rPr>
            <sz val="9"/>
            <color rgb="FF000000"/>
            <rFont val="微软雅黑"/>
            <family val="2"/>
            <charset val="134"/>
          </rPr>
          <t>亿级流量网站架构核心技术</t>
        </r>
        <r>
          <rPr>
            <sz val="9"/>
            <color rgb="FF000000"/>
            <rFont val="微软雅黑"/>
            <family val="2"/>
            <charset val="134"/>
          </rPr>
          <t xml:space="preserve">:
</t>
        </r>
        <r>
          <rPr>
            <sz val="9"/>
            <color rgb="FF000000"/>
            <rFont val="微软雅黑"/>
            <family val="2"/>
            <charset val="134"/>
          </rPr>
          <t xml:space="preserve">- 14.5.2 </t>
        </r>
        <r>
          <rPr>
            <sz val="9"/>
            <color rgb="FF000000"/>
            <rFont val="微软雅黑"/>
            <family val="2"/>
            <charset val="134"/>
          </rPr>
          <t>分库分表策略</t>
        </r>
      </text>
    </comment>
    <comment ref="H774" authorId="0" shapeId="0" xr:uid="{8026A0D0-FC4B-4F27-AF64-C91EAEEA7C9F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Vue.js</t>
        </r>
        <r>
          <rPr>
            <sz val="9"/>
            <color rgb="FF000000"/>
            <rFont val="微软雅黑"/>
            <family val="2"/>
            <charset val="134"/>
          </rPr>
          <t>快速入门</t>
        </r>
      </text>
    </comment>
    <comment ref="I774" authorId="0" shapeId="0" xr:uid="{B272AA2C-3806-4CB3-9158-4300F00F416B}">
      <text>
        <r>
          <rPr>
            <sz val="9"/>
            <color rgb="FF000000"/>
            <rFont val="Verdana"/>
            <family val="34"/>
          </rPr>
          <t xml:space="preserve">Wiki:
</t>
        </r>
        <r>
          <rPr>
            <sz val="9"/>
            <color rgb="FF000000"/>
            <rFont val="Verdana"/>
            <family val="34"/>
          </rPr>
          <t>https://cn.vuejs.org/v2/guide/#</t>
        </r>
        <r>
          <rPr>
            <sz val="9"/>
            <color rgb="FF000000"/>
            <rFont val="宋体"/>
            <family val="34"/>
          </rPr>
          <t>组件化应用构建</t>
        </r>
      </text>
    </comment>
    <comment ref="K774" authorId="0" shapeId="0" xr:uid="{4A406DC4-5FF6-4B67-A668-B8A8F4D37B44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Vue.js</t>
        </r>
        <r>
          <rPr>
            <sz val="9"/>
            <color rgb="FF000000"/>
            <rFont val="微软雅黑"/>
            <family val="2"/>
            <charset val="134"/>
          </rPr>
          <t>快速入门</t>
        </r>
      </text>
    </comment>
    <comment ref="L774" authorId="0" shapeId="0" xr:uid="{D360BC4C-9DA9-43B8-928F-1AF2CBEB56F2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Vue.js</t>
        </r>
      </text>
    </comment>
    <comment ref="L796" authorId="0" shapeId="0" xr:uid="{289EF9DB-EF7B-426B-80D4-3A1F4420884E}">
      <text>
        <r>
          <rPr>
            <sz val="9"/>
            <color rgb="FF000000"/>
            <rFont val="Verdana"/>
            <family val="2"/>
          </rPr>
          <t xml:space="preserve">Documentation:
</t>
        </r>
        <r>
          <rPr>
            <sz val="9"/>
            <color rgb="FF000000"/>
            <rFont val="Verdana"/>
            <family val="2"/>
          </rPr>
          <t xml:space="preserve">https://kafka-python.readthedocs.io/en/master/index.html
</t>
        </r>
        <r>
          <rPr>
            <sz val="9"/>
            <color rgb="FF000000"/>
            <rFont val="Verdana"/>
            <family val="2"/>
          </rPr>
          <t>Kafka-python</t>
        </r>
      </text>
    </comment>
    <comment ref="L799" authorId="0" shapeId="0" xr:uid="{D85AB536-CACB-4860-952E-0C7A5F4F4E3D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React (JavaScript library)</t>
        </r>
      </text>
    </comment>
    <comment ref="L821" authorId="0" shapeId="0" xr:uid="{B6E589D4-1493-406E-A928-AFFE4F01A336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https://en.wikipedia.org/wiki/.NET_Core#Architecture</t>
        </r>
      </text>
    </comment>
    <comment ref="J854" authorId="0" shapeId="0" xr:uid="{03C245BA-E74A-CB45-B789-9C0324B56560}">
      <text>
        <r>
          <rPr>
            <sz val="9"/>
            <color rgb="FF000000"/>
            <rFont val="Verdana"/>
            <family val="2"/>
          </rPr>
          <t xml:space="preserve">https://www.cnblogs.com/skyay/p/12511560.html#3. </t>
        </r>
        <r>
          <rPr>
            <sz val="9"/>
            <color rgb="FF000000"/>
            <rFont val="Verdana"/>
            <family val="2"/>
          </rPr>
          <t>认识索引的二叉树</t>
        </r>
        <r>
          <rPr>
            <sz val="9"/>
            <color rgb="FF000000"/>
            <rFont val="Verdana"/>
            <family val="2"/>
          </rPr>
          <t>(</t>
        </r>
        <r>
          <rPr>
            <sz val="9"/>
            <color rgb="FF000000"/>
            <rFont val="Verdana"/>
            <family val="2"/>
          </rPr>
          <t>索引</t>
        </r>
        <r>
          <rPr>
            <sz val="9"/>
            <color rgb="FF000000"/>
            <rFont val="Verdana"/>
            <family val="2"/>
          </rPr>
          <t>B</t>
        </r>
        <r>
          <rPr>
            <sz val="9"/>
            <color rgb="FF000000"/>
            <rFont val="Verdana"/>
            <family val="2"/>
          </rPr>
          <t>树</t>
        </r>
        <r>
          <rPr>
            <sz val="9"/>
            <color rgb="FF000000"/>
            <rFont val="Verdana"/>
            <family val="2"/>
          </rPr>
          <t>)</t>
        </r>
        <r>
          <rPr>
            <sz val="9"/>
            <color rgb="FF000000"/>
            <rFont val="Verdana"/>
            <family val="2"/>
          </rPr>
          <t>及级数</t>
        </r>
        <r>
          <rPr>
            <sz val="9"/>
            <color rgb="FF000000"/>
            <rFont val="Verdana"/>
            <family val="2"/>
          </rPr>
          <t>#</t>
        </r>
        <r>
          <rPr>
            <sz val="9"/>
            <color rgb="FF000000"/>
            <rFont val="Verdana"/>
            <family val="2"/>
          </rPr>
          <t>比如我们建立一个</t>
        </r>
        <r>
          <rPr>
            <sz val="9"/>
            <color rgb="FF000000"/>
            <rFont val="Verdana"/>
            <family val="2"/>
          </rPr>
          <t>User</t>
        </r>
        <r>
          <rPr>
            <sz val="9"/>
            <color rgb="FF000000"/>
            <rFont val="Verdana"/>
            <family val="2"/>
          </rPr>
          <t>表</t>
        </r>
      </text>
    </comment>
    <comment ref="J881" authorId="1" shapeId="0" xr:uid="{9D20F684-7646-BE41-96B5-CC42E78CB0AB}">
      <text>
        <r>
          <rPr>
            <sz val="9"/>
            <color rgb="FF000000"/>
            <rFont val="Verdana"/>
            <family val="2"/>
          </rPr>
          <t>https://www.baeldung.com/spring-email#2-sending-emails-with-attachments</t>
        </r>
      </text>
    </comment>
    <comment ref="I916" authorId="0" shapeId="0" xr:uid="{A6022DC3-453D-8846-8CB2-29646ACF56A1}">
      <text>
        <r>
          <rPr>
            <sz val="9"/>
            <color rgb="FF000000"/>
            <rFont val="Verdana"/>
            <family val="2"/>
          </rPr>
          <t>https://learn.microsoft.com/en-us/troubleshoot/sql/database-engine/performance/troubleshoot-slow-running-queries</t>
        </r>
      </text>
    </comment>
    <comment ref="I917" authorId="0" shapeId="0" xr:uid="{1BA8BECE-2F9E-9143-87D2-5F13B8AAB9F2}">
      <text>
        <r>
          <rPr>
            <sz val="9"/>
            <color rgb="FF000000"/>
            <rFont val="Verdana"/>
            <family val="2"/>
          </rPr>
          <t>https://learn.microsoft.com/en-US/troubleshoot/sql/database-engine/performance/understand-resolve-blocking#gather-information-from-dmvs</t>
        </r>
      </text>
    </comment>
    <comment ref="I921" authorId="0" shapeId="0" xr:uid="{8F114D91-A096-5347-98FB-52AED542130B}">
      <text>
        <r>
          <rPr>
            <sz val="9"/>
            <color rgb="FF000000"/>
            <rFont val="Verdana"/>
            <family val="2"/>
          </rPr>
          <t>https://www.sqlshack.com/understanding-impact-clr-strict-security-configuration-setting-sql-server-2017/</t>
        </r>
      </text>
    </comment>
    <comment ref="I922" authorId="0" shapeId="0" xr:uid="{CA93F56D-C379-A24B-89F3-41E577D3A2A3}">
      <text>
        <r>
          <rPr>
            <sz val="9"/>
            <color rgb="FF000000"/>
            <rFont val="Verdana"/>
            <family val="2"/>
          </rPr>
          <t>https://www.sqlshack.com/understanding-the-sql-merge-statement/</t>
        </r>
      </text>
    </comment>
    <comment ref="I924" authorId="0" shapeId="0" xr:uid="{3DF4586B-072E-9A4C-AF07-F8D6680013A9}">
      <text>
        <r>
          <rPr>
            <sz val="9"/>
            <color rgb="FF000000"/>
            <rFont val="Verdana"/>
            <family val="2"/>
          </rPr>
          <t>https://sqlserverplanet.com/dba/using-sp_who2</t>
        </r>
      </text>
    </comment>
    <comment ref="J981" authorId="0" shapeId="0" xr:uid="{6AA6F69C-DF2E-0647-B8EC-4A2998DD1CC3}">
      <text>
        <r>
          <rPr>
            <sz val="9"/>
            <color rgb="FF000000"/>
            <rFont val="Verdana"/>
            <family val="2"/>
          </rPr>
          <t>https://www.vmware.com/topics/glossary/content/identity-management.html</t>
        </r>
      </text>
    </comment>
    <comment ref="L981" authorId="1" shapeId="0" xr:uid="{5393AF4A-A081-D042-8720-0B474245E205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>Identity management</t>
        </r>
      </text>
    </comment>
    <comment ref="J984" authorId="0" shapeId="0" xr:uid="{AB444EF5-F7E1-544F-9559-6F4A136805D5}">
      <text>
        <r>
          <rPr>
            <sz val="9"/>
            <color rgb="FF000000"/>
            <rFont val="Verdana"/>
            <family val="2"/>
          </rPr>
          <t>https://checkmarx.com/blog/springshell-remote-code-execution-via-spring-web/</t>
        </r>
      </text>
    </comment>
    <comment ref="J997" authorId="0" shapeId="0" xr:uid="{39986AD0-81C1-D44E-AA1A-0671C0FF4426}">
      <text>
        <r>
          <rPr>
            <sz val="9"/>
            <color rgb="FF000000"/>
            <rFont val="Verdana"/>
            <family val="2"/>
          </rPr>
          <t>https://restfulapi.net/resource-naming</t>
        </r>
      </text>
    </comment>
    <comment ref="J998" authorId="0" shapeId="0" xr:uid="{95600F53-9983-0F43-8463-2DB70635CC0C}">
      <text>
        <r>
          <rPr>
            <sz val="9"/>
            <color rgb="FF000000"/>
            <rFont val="Verdana"/>
            <family val="2"/>
          </rPr>
          <t>https://www.moesif.com/blog/technical/api-design/REST-API-Design-Best-Practices-for-Parameters-and-Query-String-Usage</t>
        </r>
      </text>
    </comment>
    <comment ref="I1007" authorId="0" shapeId="0" xr:uid="{4EE1FDF6-1609-564E-A778-CD72D01C1CA5}">
      <text>
        <r>
          <rPr>
            <sz val="9"/>
            <color rgb="FF000000"/>
            <rFont val="Verdana"/>
            <family val="2"/>
          </rPr>
          <t>https://cloud.tencent.com/document/product/1140/43340</t>
        </r>
      </text>
    </comment>
    <comment ref="I1019" authorId="0" shapeId="0" xr:uid="{F0464F16-CF7C-4B1C-B375-0FF009854DE9}">
      <text>
        <r>
          <rPr>
            <sz val="9"/>
            <color rgb="FF000000"/>
            <rFont val="Verdana"/>
            <family val="2"/>
          </rPr>
          <t>https://airflow.apache.org/docs/stable/dag-run.html#external-triggers</t>
        </r>
      </text>
    </comment>
    <comment ref="K1019" authorId="0" shapeId="0" xr:uid="{600460EC-5565-45B2-BBC7-55C0BCD5441D}">
      <text>
        <r>
          <rPr>
            <sz val="9"/>
            <color rgb="FF000000"/>
            <rFont val="Verdana"/>
            <family val="2"/>
          </rPr>
          <t xml:space="preserve">https://airflow.apache.org/docs/stable/start.html
</t>
        </r>
      </text>
    </comment>
    <comment ref="L1019" authorId="0" shapeId="0" xr:uid="{0371D91B-8AC9-41BF-BD36-F21006FD68CF}">
      <text>
        <r>
          <rPr>
            <sz val="9"/>
            <color rgb="FF000000"/>
            <rFont val="Verdana"/>
            <family val="2"/>
          </rPr>
          <t xml:space="preserve">Wiki:
</t>
        </r>
        <r>
          <rPr>
            <sz val="9"/>
            <color rgb="FF000000"/>
            <rFont val="Verdana"/>
            <family val="2"/>
          </rPr>
          <t xml:space="preserve">Apache Airflow
</t>
        </r>
        <r>
          <rPr>
            <sz val="9"/>
            <color rgb="FF000000"/>
            <rFont val="Verdana"/>
            <family val="2"/>
          </rPr>
          <t xml:space="preserve">
</t>
        </r>
        <r>
          <rPr>
            <sz val="9"/>
            <color rgb="FF000000"/>
            <rFont val="Verdana"/>
            <family val="2"/>
          </rPr>
          <t xml:space="preserve">Youtube:
</t>
        </r>
        <r>
          <rPr>
            <sz val="9"/>
            <color rgb="FF000000"/>
            <rFont val="Verdana"/>
            <family val="2"/>
          </rPr>
          <t>https://youtu.be/YWtfU0MQZ_4</t>
        </r>
      </text>
    </comment>
    <comment ref="J1096" authorId="0" shapeId="0" xr:uid="{26EDAEAD-36D2-A140-A18D-5D14E27D82CC}">
      <text>
        <r>
          <rPr>
            <sz val="9"/>
            <color rgb="FF000000"/>
            <rFont val="Verdana"/>
            <family val="2"/>
          </rPr>
          <t>https://blog.51cto.com/u_16102572/6254653</t>
        </r>
      </text>
    </comment>
    <comment ref="L1121" authorId="1" shapeId="0" xr:uid="{BB87480D-908A-43DD-A6BC-0D164F8D90F1}">
      <text>
        <r>
          <rPr>
            <sz val="9"/>
            <color rgb="FF000000"/>
            <rFont val="Verdana"/>
            <family val="2"/>
          </rPr>
          <t>https://spring.io/projects/spring-ai</t>
        </r>
      </text>
    </comment>
    <comment ref="J1134" authorId="0" shapeId="0" xr:uid="{D4981810-1E88-D546-A67B-362798EF99C7}">
      <text>
        <r>
          <rPr>
            <sz val="9"/>
            <color rgb="FF000000"/>
            <rFont val="Verdana"/>
            <family val="2"/>
          </rPr>
          <t>https://www.infoq.com/articles/apache-shiro/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  <author>朱友晶</author>
  </authors>
  <commentList>
    <comment ref="H54" authorId="0" shapeId="0" xr:uid="{179D3317-D05D-4E42-84A6-20408F5BB38F}">
      <text>
        <r>
          <rPr>
            <sz val="9"/>
            <color indexed="81"/>
            <rFont val="微软雅黑"/>
            <family val="2"/>
            <charset val="134"/>
          </rPr>
          <t>哈利·波特百科全书</t>
        </r>
      </text>
    </comment>
    <comment ref="H55" authorId="0" shapeId="0" xr:uid="{95C1FBC3-48BE-4D85-A275-EF4CF5783B38}">
      <text>
        <r>
          <rPr>
            <sz val="9"/>
            <color indexed="81"/>
            <rFont val="微软雅黑"/>
            <family val="2"/>
            <charset val="134"/>
          </rPr>
          <t>-------
------
-喧哗与骚动---
----
---
--
-</t>
        </r>
      </text>
    </comment>
    <comment ref="I55" authorId="0" shapeId="0" xr:uid="{B29B5256-3841-41FB-8956-9A764C166310}">
      <text>
        <r>
          <rPr>
            <sz val="9"/>
            <color indexed="81"/>
            <rFont val="微软雅黑"/>
            <family val="2"/>
            <charset val="134"/>
          </rPr>
          <t>罗马史（第四卷）</t>
        </r>
        <r>
          <rPr>
            <sz val="9"/>
            <color indexed="81"/>
            <rFont val="宋体"/>
            <family val="3"/>
            <charset val="134"/>
          </rPr>
          <t xml:space="preserve"> </t>
        </r>
      </text>
    </comment>
    <comment ref="H56" authorId="0" shapeId="0" xr:uid="{ED815C7D-8C37-43C5-AD6C-F27B09AEC6E6}">
      <text>
        <r>
          <rPr>
            <sz val="9"/>
            <color indexed="81"/>
            <rFont val="微软雅黑"/>
            <family val="2"/>
            <charset val="134"/>
          </rPr>
          <t>富爸爸穷爸爸</t>
        </r>
      </text>
    </comment>
    <comment ref="I56" authorId="0" shapeId="0" xr:uid="{697330E0-A49A-4BB5-BBB9-9C53E578A233}">
      <text>
        <r>
          <rPr>
            <sz val="9"/>
            <color indexed="81"/>
            <rFont val="微软雅黑"/>
            <family val="2"/>
            <charset val="134"/>
          </rPr>
          <t>东线1941-1945：斯大林格勒</t>
        </r>
      </text>
    </comment>
    <comment ref="J56" authorId="0" shapeId="0" xr:uid="{005C243C-C12E-4C00-BB31-A4F828FD444C}">
      <text>
        <r>
          <rPr>
            <b/>
            <sz val="9"/>
            <color indexed="81"/>
            <rFont val="宋体"/>
            <family val="3"/>
            <charset val="134"/>
          </rPr>
          <t>Chris:</t>
        </r>
        <r>
          <rPr>
            <sz val="9"/>
            <color indexed="81"/>
            <rFont val="宋体"/>
            <family val="3"/>
            <charset val="134"/>
          </rPr>
          <t xml:space="preserve">
我怎样写小说</t>
        </r>
      </text>
    </comment>
    <comment ref="H57" authorId="0" shapeId="0" xr:uid="{B3329AAE-76F6-4D8A-9E8A-D3EE816FA0AB}">
      <text>
        <r>
          <rPr>
            <sz val="9"/>
            <color indexed="81"/>
            <rFont val="微软雅黑"/>
            <family val="2"/>
            <charset val="134"/>
          </rPr>
          <t>红楼梦</t>
        </r>
      </text>
    </comment>
    <comment ref="I57" authorId="0" shapeId="0" xr:uid="{DB521B05-C353-41B7-BD08-49BDD59BF992}">
      <text>
        <r>
          <rPr>
            <sz val="9"/>
            <color indexed="81"/>
            <rFont val="微软雅黑"/>
            <family val="2"/>
            <charset val="134"/>
          </rPr>
          <t>唐诗鉴赏辞典（新一版）</t>
        </r>
      </text>
    </comment>
    <comment ref="I58" authorId="0" shapeId="0" xr:uid="{7EA47813-3764-4EFF-8886-BCB48E51C5C9}">
      <text>
        <r>
          <rPr>
            <sz val="9"/>
            <color indexed="81"/>
            <rFont val="微软雅黑"/>
            <family val="2"/>
            <charset val="134"/>
          </rPr>
          <t>第4卷 西班牙的衰落与三十年战争：1609-1648/1659</t>
        </r>
      </text>
    </comment>
    <comment ref="I59" authorId="0" shapeId="0" xr:uid="{A4355D9F-0874-4480-A856-9ED348CF8923}">
      <text>
        <r>
          <rPr>
            <sz val="9"/>
            <color indexed="81"/>
            <rFont val="微软雅黑"/>
            <family val="2"/>
            <charset val="134"/>
          </rPr>
          <t>且介亭杂文二集</t>
        </r>
      </text>
    </comment>
    <comment ref="J59" authorId="0" shapeId="0" xr:uid="{FA911562-300A-4AC4-8110-F1235DD57BBE}">
      <text>
        <r>
          <rPr>
            <b/>
            <sz val="9"/>
            <color indexed="81"/>
            <rFont val="宋体"/>
            <family val="3"/>
            <charset val="134"/>
          </rPr>
          <t>Chris:</t>
        </r>
        <r>
          <rPr>
            <sz val="9"/>
            <color indexed="81"/>
            <rFont val="宋体"/>
            <family val="3"/>
            <charset val="134"/>
          </rPr>
          <t xml:space="preserve">
新药的故事1
新药的故事2
半小时漫画党史
蒙田随笔
城南旧事
我在小米做爆品
影子里的中国
汤姆·索亚历险记
医学联络官进阶之路
非普通读者
生命是什么
一日重生
曾国藩传
强权与铁腕
动物王朝</t>
        </r>
      </text>
    </comment>
    <comment ref="I60" authorId="0" shapeId="0" xr:uid="{4522F6FE-0A76-422D-8E79-4F5073FB5CCB}">
      <text>
        <r>
          <rPr>
            <sz val="9"/>
            <color rgb="FF000000"/>
            <rFont val="微软雅黑"/>
            <family val="2"/>
            <charset val="134"/>
          </rPr>
          <t>神雕侠侣</t>
        </r>
      </text>
    </comment>
    <comment ref="I61" authorId="0" shapeId="0" xr:uid="{F3ECF4DD-3CE7-4401-8B97-85763B6E74C8}">
      <text>
        <r>
          <rPr>
            <sz val="9"/>
            <color indexed="81"/>
            <rFont val="微软雅黑"/>
            <family val="2"/>
            <charset val="134"/>
          </rPr>
          <t>呼啸山庄</t>
        </r>
      </text>
    </comment>
    <comment ref="I62" authorId="0" shapeId="0" xr:uid="{BE28ED48-C139-4F0C-9713-C520EC43D779}">
      <text>
        <r>
          <rPr>
            <sz val="9"/>
            <color indexed="81"/>
            <rFont val="微软雅黑"/>
            <family val="2"/>
            <charset val="134"/>
          </rPr>
          <t>人间失格</t>
        </r>
      </text>
    </comment>
    <comment ref="I63" authorId="0" shapeId="0" xr:uid="{1763C9BC-39BD-4ADA-9814-B42D1E94F230}">
      <text>
        <r>
          <rPr>
            <sz val="9"/>
            <color indexed="81"/>
            <rFont val="微软雅黑"/>
            <family val="2"/>
            <charset val="134"/>
          </rPr>
          <t>厨房</t>
        </r>
      </text>
    </comment>
    <comment ref="I64" authorId="0" shapeId="0" xr:uid="{49AC53FA-A10D-4D08-A128-526E82E7CAC8}">
      <text>
        <r>
          <rPr>
            <sz val="9"/>
            <color indexed="81"/>
            <rFont val="微软雅黑"/>
            <family val="2"/>
            <charset val="134"/>
          </rPr>
          <t xml:space="preserve">老妇与猫 </t>
        </r>
      </text>
    </comment>
    <comment ref="I65" authorId="0" shapeId="0" xr:uid="{72D9B6A3-E6CD-46EF-A7CB-9476F07E0CD0}">
      <text>
        <r>
          <rPr>
            <sz val="9"/>
            <color indexed="81"/>
            <rFont val="微软雅黑"/>
            <family val="2"/>
            <charset val="134"/>
          </rPr>
          <t>好诗共欣赏</t>
        </r>
      </text>
    </comment>
    <comment ref="I66" authorId="0" shapeId="0" xr:uid="{1622C702-55F5-4C2E-9B28-CDCDFCD6FDB4}">
      <text>
        <r>
          <rPr>
            <sz val="9"/>
            <color indexed="81"/>
            <rFont val="微软雅黑"/>
            <family val="2"/>
            <charset val="134"/>
          </rPr>
          <t>武士道</t>
        </r>
      </text>
    </comment>
    <comment ref="I67" authorId="0" shapeId="0" xr:uid="{C899B40B-DC6D-42CA-A5D0-B9CB76B06487}">
      <text>
        <r>
          <rPr>
            <sz val="9"/>
            <color rgb="FF000000"/>
            <rFont val="微软雅黑"/>
            <family val="2"/>
            <charset val="134"/>
          </rPr>
          <t>第2卷：经典场论</t>
        </r>
      </text>
    </comment>
    <comment ref="I68" authorId="0" shapeId="0" xr:uid="{B7331515-285C-4E13-93BF-3B43E549504A}">
      <text>
        <r>
          <rPr>
            <sz val="9"/>
            <color indexed="81"/>
            <rFont val="微软雅黑"/>
            <family val="2"/>
            <charset val="134"/>
          </rPr>
          <t>世界园林植物与花卉百科全书</t>
        </r>
      </text>
    </comment>
    <comment ref="I69" authorId="0" shapeId="0" xr:uid="{5A71217A-A190-4085-858A-6AF76467DF91}">
      <text>
        <r>
          <rPr>
            <sz val="9"/>
            <color indexed="81"/>
            <rFont val="微软雅黑"/>
            <family val="2"/>
            <charset val="134"/>
          </rPr>
          <t>知中·孙子兵法指南书</t>
        </r>
      </text>
    </comment>
    <comment ref="I70" authorId="0" shapeId="0" xr:uid="{C6F4C363-7680-4566-88C5-301BB3663849}">
      <text>
        <r>
          <rPr>
            <sz val="9"/>
            <color indexed="81"/>
            <rFont val="微软雅黑"/>
            <family val="2"/>
            <charset val="134"/>
          </rPr>
          <t>罗马人的故事6 : 罗马统治下的和平</t>
        </r>
      </text>
    </comment>
    <comment ref="I71" authorId="0" shapeId="0" xr:uid="{9109B344-D2F9-40C1-B1A1-9FFE90F1C1D4}">
      <text>
        <r>
          <rPr>
            <sz val="9"/>
            <color indexed="81"/>
            <rFont val="微软雅黑"/>
            <family val="2"/>
            <charset val="134"/>
          </rPr>
          <t>唐诗杂论 : 跟大师学国学</t>
        </r>
      </text>
    </comment>
    <comment ref="I72" authorId="0" shapeId="0" xr:uid="{E60FA47D-C3C7-4859-9F75-76788E0A95C5}">
      <text>
        <r>
          <rPr>
            <sz val="9"/>
            <color indexed="81"/>
            <rFont val="微软雅黑"/>
            <family val="2"/>
            <charset val="134"/>
          </rPr>
          <t>周易</t>
        </r>
      </text>
    </comment>
    <comment ref="I73" authorId="0" shapeId="0" xr:uid="{8AF07166-4F5C-49E7-949F-67608FFE327D}">
      <text>
        <r>
          <rPr>
            <sz val="9"/>
            <color indexed="81"/>
            <rFont val="微软雅黑"/>
            <family val="2"/>
            <charset val="134"/>
          </rPr>
          <t>老子</t>
        </r>
      </text>
    </comment>
    <comment ref="I74" authorId="0" shapeId="0" xr:uid="{6D6AB07C-9EBC-42CD-A362-5D9DBCC1E322}">
      <text>
        <r>
          <rPr>
            <sz val="9"/>
            <color indexed="81"/>
            <rFont val="微软雅黑"/>
            <family val="2"/>
            <charset val="134"/>
          </rPr>
          <t>花间一壶酒</t>
        </r>
      </text>
    </comment>
    <comment ref="I75" authorId="0" shapeId="0" xr:uid="{A3CDEA67-274C-4F9F-A2FF-47E86CC4282D}">
      <text>
        <r>
          <rPr>
            <sz val="9"/>
            <color indexed="81"/>
            <rFont val="微软雅黑"/>
            <family val="2"/>
            <charset val="134"/>
          </rPr>
          <t>第三卷 数学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76" authorId="0" shapeId="0" xr:uid="{211802B0-94C7-4617-AE0F-05A44A93596A}">
      <text>
        <r>
          <rPr>
            <sz val="9"/>
            <color rgb="FF000000"/>
            <rFont val="微软雅黑"/>
            <family val="2"/>
            <charset val="134"/>
          </rPr>
          <t>架构师书库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I77" authorId="0" shapeId="0" xr:uid="{94334B74-A8A0-4B0F-83FC-0FD62FB609AA}">
      <text>
        <r>
          <rPr>
            <sz val="9"/>
            <color indexed="81"/>
            <rFont val="Verdana"/>
            <family val="2"/>
          </rPr>
          <t>The Art of Computer Programming, Volume 3 : Sorting and Searching (2nd Edition)</t>
        </r>
      </text>
    </comment>
    <comment ref="I78" authorId="0" shapeId="0" xr:uid="{C5F41DB0-F566-4A8E-AADE-F4BE2ACAFD43}">
      <text>
        <r>
          <rPr>
            <sz val="9"/>
            <color indexed="81"/>
            <rFont val="微软雅黑"/>
            <family val="2"/>
            <charset val="134"/>
          </rPr>
          <t>赡养人类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79" authorId="0" shapeId="0" xr:uid="{B0EAE110-1805-4548-BFBE-65775E84B789}">
      <text>
        <r>
          <rPr>
            <sz val="9"/>
            <color indexed="81"/>
            <rFont val="微软雅黑"/>
            <family val="2"/>
            <charset val="134"/>
          </rPr>
          <t>中国历史 : 辽史</t>
        </r>
      </text>
    </comment>
    <comment ref="I80" authorId="0" shapeId="0" xr:uid="{F71D84A5-7FDB-43F3-81EC-BB65E09F4388}">
      <text>
        <r>
          <rPr>
            <sz val="9"/>
            <color indexed="81"/>
            <rFont val="微软雅黑"/>
            <family val="2"/>
            <charset val="134"/>
          </rPr>
          <t>哲学的慰藉</t>
        </r>
      </text>
    </comment>
    <comment ref="I81" authorId="0" shapeId="0" xr:uid="{ACB1E2E6-FBD4-45CB-9EB8-150947D6E528}">
      <text>
        <r>
          <rPr>
            <sz val="9"/>
            <color indexed="81"/>
            <rFont val="微软雅黑"/>
            <family val="2"/>
            <charset val="134"/>
          </rPr>
          <t>黎东方讲史·细说元朝</t>
        </r>
      </text>
    </comment>
    <comment ref="I82" authorId="0" shapeId="0" xr:uid="{2CB565C7-A5FA-44B3-A812-E8B081C367B8}">
      <text>
        <r>
          <rPr>
            <sz val="9"/>
            <color indexed="81"/>
            <rFont val="微软雅黑"/>
            <family val="2"/>
            <charset val="134"/>
          </rPr>
          <t>迷雾</t>
        </r>
      </text>
    </comment>
    <comment ref="I83" authorId="1" shapeId="0" xr:uid="{F1DEB4BF-98CA-422C-8D96-C6BC2B19D7ED}">
      <text>
        <r>
          <rPr>
            <sz val="9"/>
            <color indexed="81"/>
            <rFont val="微软雅黑"/>
            <family val="2"/>
            <charset val="134"/>
          </rPr>
          <t>银河帝国6 ：基地边缘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84" authorId="0" shapeId="0" xr:uid="{0EB7FD58-7737-4ED0-8A0E-0D71D73104A8}">
      <text>
        <r>
          <rPr>
            <sz val="9"/>
            <color indexed="81"/>
            <rFont val="微软雅黑"/>
            <family val="2"/>
            <charset val="134"/>
          </rPr>
          <t>一生 皮埃尔与让</t>
        </r>
      </text>
    </comment>
    <comment ref="I85" authorId="1" shapeId="0" xr:uid="{2C14B808-7F34-4467-B1F6-0B4BFC421D87}">
      <text>
        <r>
          <rPr>
            <sz val="9"/>
            <color indexed="81"/>
            <rFont val="微软雅黑"/>
            <family val="2"/>
            <charset val="134"/>
          </rPr>
          <t>光荣与梦想 互联网口述系列丛书 陆首群篇</t>
        </r>
      </text>
    </comment>
    <comment ref="I86" authorId="0" shapeId="0" xr:uid="{92AE15E6-8574-40DC-AF94-6B0A7F00ADB5}">
      <text>
        <r>
          <rPr>
            <sz val="9"/>
            <color indexed="81"/>
            <rFont val="微软雅黑"/>
            <family val="2"/>
            <charset val="134"/>
          </rPr>
          <t>忽必烈的挑战</t>
        </r>
      </text>
    </comment>
    <comment ref="I87" authorId="0" shapeId="0" xr:uid="{5A098A3F-909C-4958-878C-C5CB5A4969E7}">
      <text>
        <r>
          <rPr>
            <sz val="9"/>
            <color indexed="81"/>
            <rFont val="微软雅黑"/>
            <family val="2"/>
            <charset val="134"/>
          </rPr>
          <t>政治秩序的起源</t>
        </r>
      </text>
    </comment>
    <comment ref="I88" authorId="0" shapeId="0" xr:uid="{94280357-5F20-415C-B497-0432CB196A75}">
      <text>
        <r>
          <rPr>
            <sz val="9"/>
            <color indexed="81"/>
            <rFont val="微软雅黑"/>
            <family val="2"/>
            <charset val="134"/>
          </rPr>
          <t>公元200-600-衰落的王朝-全球通史-6</t>
        </r>
      </text>
    </comment>
  </commentList>
</comments>
</file>

<file path=xl/sharedStrings.xml><?xml version="1.0" encoding="utf-8"?>
<sst xmlns="http://schemas.openxmlformats.org/spreadsheetml/2006/main" count="3051" uniqueCount="2853">
  <si>
    <t>FINANCE</t>
    <phoneticPr fontId="4" type="noConversion"/>
  </si>
  <si>
    <t>Deposit</t>
    <phoneticPr fontId="4" type="noConversion"/>
  </si>
  <si>
    <t>Tally</t>
    <phoneticPr fontId="4" type="noConversion"/>
  </si>
  <si>
    <t>Wage</t>
    <phoneticPr fontId="4" type="noConversion"/>
  </si>
  <si>
    <t>Today</t>
    <phoneticPr fontId="4" type="noConversion"/>
  </si>
  <si>
    <t>Checkpoint</t>
    <phoneticPr fontId="4" type="noConversion"/>
  </si>
  <si>
    <t>Left Months</t>
    <phoneticPr fontId="4" type="noConversion"/>
  </si>
  <si>
    <t>HISTORY</t>
    <phoneticPr fontId="4" type="noConversion"/>
  </si>
  <si>
    <t>SUPPLEMENT</t>
    <phoneticPr fontId="4" type="noConversion"/>
  </si>
  <si>
    <t>Time</t>
    <phoneticPr fontId="4" type="noConversion"/>
  </si>
  <si>
    <t>Output</t>
    <phoneticPr fontId="4" type="noConversion"/>
  </si>
  <si>
    <t>Average</t>
    <phoneticPr fontId="4" type="noConversion"/>
  </si>
  <si>
    <t>INVESTMENT</t>
    <phoneticPr fontId="4" type="noConversion"/>
  </si>
  <si>
    <t>Jan</t>
    <phoneticPr fontId="1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</si>
  <si>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</si>
  <si>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</si>
  <si>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</si>
  <si>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</si>
  <si>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</si>
  <si>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</si>
  <si>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</si>
  <si>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</si>
  <si>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</si>
  <si>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</si>
  <si>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</si>
  <si>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Stock</t>
    <phoneticPr fontId="4" type="noConversion"/>
  </si>
  <si>
    <t>Finance Product</t>
    <phoneticPr fontId="4" type="noConversion"/>
  </si>
  <si>
    <t>Total</t>
    <phoneticPr fontId="4" type="noConversion"/>
  </si>
  <si>
    <t>一</t>
  </si>
  <si>
    <t>二</t>
  </si>
  <si>
    <t>三</t>
  </si>
  <si>
    <t>四</t>
  </si>
  <si>
    <t>五</t>
  </si>
  <si>
    <t>六</t>
  </si>
  <si>
    <t>六</t>
    <phoneticPr fontId="12" type="noConversion"/>
  </si>
  <si>
    <t>Decent Output</t>
    <phoneticPr fontId="4" type="noConversion"/>
  </si>
  <si>
    <t>万历朝鲜战争</t>
  </si>
  <si>
    <t>献给阿尔吉侬的花束</t>
  </si>
  <si>
    <t>杜拉拉1</t>
  </si>
  <si>
    <t>杜拉拉4</t>
  </si>
  <si>
    <t>上杉谦信(下)</t>
  </si>
  <si>
    <t>织田信长(下)</t>
  </si>
  <si>
    <t>丰臣秀吉(下)</t>
  </si>
  <si>
    <t>伊达政宗(上)</t>
  </si>
  <si>
    <t>伊达政宗(下)</t>
  </si>
  <si>
    <t>杜拉拉2</t>
  </si>
  <si>
    <t>杜拉拉3</t>
  </si>
  <si>
    <t>Installment</t>
    <phoneticPr fontId="4" type="noConversion"/>
  </si>
  <si>
    <t>三十六计</t>
    <phoneticPr fontId="12" type="noConversion"/>
  </si>
  <si>
    <t>上杉谦信(上)</t>
    <phoneticPr fontId="12" type="noConversion"/>
  </si>
  <si>
    <t>织田信长(上)</t>
    <phoneticPr fontId="12" type="noConversion"/>
  </si>
  <si>
    <t>丰臣秀吉(上)</t>
    <phoneticPr fontId="12" type="noConversion"/>
  </si>
  <si>
    <t>漫长的婚约</t>
    <phoneticPr fontId="12" type="noConversion"/>
  </si>
  <si>
    <t>骗局</t>
    <phoneticPr fontId="12" type="noConversion"/>
  </si>
  <si>
    <t>源义经</t>
    <phoneticPr fontId="12" type="noConversion"/>
  </si>
  <si>
    <t>德川家康</t>
    <phoneticPr fontId="12" type="noConversion"/>
  </si>
  <si>
    <t>病菌集中营</t>
    <phoneticPr fontId="12" type="noConversion"/>
  </si>
  <si>
    <t>白客</t>
    <phoneticPr fontId="12" type="noConversion"/>
  </si>
  <si>
    <t>我是钱</t>
    <phoneticPr fontId="12" type="noConversion"/>
  </si>
  <si>
    <t>第三帝国的兴亡(上)</t>
    <phoneticPr fontId="12" type="noConversion"/>
  </si>
  <si>
    <t>第三帝国的兴亡(中)</t>
    <phoneticPr fontId="12" type="noConversion"/>
  </si>
  <si>
    <t>第三帝国的兴亡(下)</t>
    <phoneticPr fontId="12" type="noConversion"/>
  </si>
  <si>
    <t>希特勒万岁,猪死了!</t>
    <phoneticPr fontId="12" type="noConversion"/>
  </si>
  <si>
    <t>on</t>
    <phoneticPr fontId="12" type="noConversion"/>
  </si>
  <si>
    <t>浴血八年</t>
    <phoneticPr fontId="12" type="noConversion"/>
  </si>
  <si>
    <t>德川家康(五)</t>
    <phoneticPr fontId="12" type="noConversion"/>
  </si>
  <si>
    <t>德川家康(六)</t>
    <phoneticPr fontId="12" type="noConversion"/>
  </si>
  <si>
    <t>德川家康(七)</t>
    <phoneticPr fontId="12" type="noConversion"/>
  </si>
  <si>
    <t>德川家康(八)</t>
    <phoneticPr fontId="12" type="noConversion"/>
  </si>
  <si>
    <t>德川家康(九)</t>
    <phoneticPr fontId="12" type="noConversion"/>
  </si>
  <si>
    <t>德川家康(十)</t>
    <phoneticPr fontId="12" type="noConversion"/>
  </si>
  <si>
    <t>德川家康(十一)</t>
    <phoneticPr fontId="12" type="noConversion"/>
  </si>
  <si>
    <t>德川家康(十二)</t>
    <phoneticPr fontId="12" type="noConversion"/>
  </si>
  <si>
    <t>量子世代</t>
    <phoneticPr fontId="12" type="noConversion"/>
  </si>
  <si>
    <t>时间简史</t>
    <phoneticPr fontId="12" type="noConversion"/>
  </si>
  <si>
    <t>时间的形状</t>
    <phoneticPr fontId="12" type="noConversion"/>
  </si>
  <si>
    <t>日</t>
    <phoneticPr fontId="12" type="noConversion"/>
  </si>
  <si>
    <t>Video</t>
    <phoneticPr fontId="4" type="noConversion"/>
  </si>
  <si>
    <t>Internet Finance</t>
    <phoneticPr fontId="4" type="noConversion"/>
  </si>
  <si>
    <t>Period</t>
    <phoneticPr fontId="4" type="noConversion"/>
  </si>
  <si>
    <t>Lowest</t>
    <phoneticPr fontId="4" type="noConversion"/>
  </si>
  <si>
    <t>Highest</t>
    <phoneticPr fontId="4" type="noConversion"/>
  </si>
  <si>
    <t>Rank</t>
    <phoneticPr fontId="4" type="noConversion"/>
  </si>
  <si>
    <t>Watching</t>
    <phoneticPr fontId="4" type="noConversion"/>
  </si>
  <si>
    <t>明朝那些事儿(一)</t>
    <phoneticPr fontId="12" type="noConversion"/>
  </si>
  <si>
    <t>明朝那些事儿(二)</t>
    <phoneticPr fontId="12" type="noConversion"/>
  </si>
  <si>
    <t>Shortage</t>
    <phoneticPr fontId="4" type="noConversion"/>
  </si>
  <si>
    <t>Insurance</t>
  </si>
  <si>
    <t>Law</t>
  </si>
  <si>
    <t>Politics</t>
  </si>
  <si>
    <t>judicial</t>
  </si>
  <si>
    <t>司法的</t>
  </si>
  <si>
    <t>Economy</t>
  </si>
  <si>
    <t>rider</t>
  </si>
  <si>
    <t>附加保单条款</t>
  </si>
  <si>
    <t>advance</t>
  </si>
  <si>
    <t>预付金</t>
  </si>
  <si>
    <t>felony</t>
  </si>
  <si>
    <t>重罪</t>
  </si>
  <si>
    <t>Supreme Court</t>
  </si>
  <si>
    <t>最高法院</t>
  </si>
  <si>
    <t>Thalassa</t>
  </si>
  <si>
    <t>海卫四</t>
  </si>
  <si>
    <t>Bonus</t>
    <phoneticPr fontId="4" type="noConversion"/>
  </si>
  <si>
    <t>Physics</t>
  </si>
  <si>
    <t>meson</t>
  </si>
  <si>
    <t>介子</t>
  </si>
  <si>
    <t>碧空傲骨</t>
    <phoneticPr fontId="12" type="noConversion"/>
  </si>
  <si>
    <t>背水一战</t>
    <phoneticPr fontId="12" type="noConversion"/>
  </si>
  <si>
    <t>海岛搏杀</t>
    <phoneticPr fontId="12" type="noConversion"/>
  </si>
  <si>
    <t>Share Count</t>
    <phoneticPr fontId="4" type="noConversion"/>
  </si>
  <si>
    <t>Supplement</t>
    <phoneticPr fontId="4" type="noConversion"/>
  </si>
  <si>
    <t>Biology</t>
  </si>
  <si>
    <t>Ambush</t>
  </si>
  <si>
    <t>Subtracted by Bonus</t>
  </si>
  <si>
    <t>Outcome</t>
  </si>
  <si>
    <t>三体(I)</t>
    <phoneticPr fontId="12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</si>
  <si>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</si>
  <si>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</si>
  <si>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</si>
  <si>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Fri</t>
    <phoneticPr fontId="4" type="noConversion"/>
  </si>
  <si>
    <t>Sun</t>
    <phoneticPr fontId="4" type="noConversion"/>
  </si>
  <si>
    <t>SPECIALITIES</t>
    <phoneticPr fontId="12" type="noConversion"/>
  </si>
  <si>
    <t>Last Month</t>
    <phoneticPr fontId="4" type="noConversion"/>
  </si>
  <si>
    <t>This Month</t>
    <phoneticPr fontId="4" type="noConversion"/>
  </si>
  <si>
    <t>Added by Weekly</t>
    <phoneticPr fontId="4" type="noConversion"/>
  </si>
  <si>
    <t>Astronomy</t>
    <phoneticPr fontId="12" type="noConversion"/>
  </si>
  <si>
    <t>Vol.</t>
    <phoneticPr fontId="12" type="noConversion"/>
  </si>
  <si>
    <t>Oricon</t>
    <phoneticPr fontId="12" type="noConversion"/>
  </si>
  <si>
    <t>ID</t>
    <phoneticPr fontId="12" type="noConversion"/>
  </si>
  <si>
    <t>Difference</t>
    <phoneticPr fontId="4" type="noConversion"/>
  </si>
  <si>
    <t>1/10</t>
    <phoneticPr fontId="4" type="noConversion"/>
  </si>
  <si>
    <t>9/10</t>
    <phoneticPr fontId="4" type="noConversion"/>
  </si>
  <si>
    <t>Outcome</t>
    <phoneticPr fontId="4" type="noConversion"/>
  </si>
  <si>
    <t>Gain/Loss</t>
    <phoneticPr fontId="4" type="noConversion"/>
  </si>
  <si>
    <t>Stock Monthly Reload</t>
    <phoneticPr fontId="4" type="noConversion"/>
  </si>
  <si>
    <t>公民喉舌</t>
    <phoneticPr fontId="12" type="noConversion"/>
  </si>
  <si>
    <t>Item</t>
    <phoneticPr fontId="12" type="noConversion"/>
  </si>
  <si>
    <t>at Loss</t>
    <phoneticPr fontId="4" type="noConversion"/>
  </si>
  <si>
    <t>at Gain</t>
    <phoneticPr fontId="4" type="noConversion"/>
  </si>
  <si>
    <t>endowment insurance</t>
    <phoneticPr fontId="12" type="noConversion"/>
  </si>
  <si>
    <t>养老保险</t>
    <phoneticPr fontId="12" type="noConversion"/>
  </si>
  <si>
    <t>Relax</t>
    <phoneticPr fontId="4" type="noConversion"/>
  </si>
  <si>
    <t>Rush</t>
    <phoneticPr fontId="4" type="noConversion"/>
  </si>
  <si>
    <t>Date</t>
    <phoneticPr fontId="4" type="noConversion"/>
  </si>
  <si>
    <t>Writing</t>
    <phoneticPr fontId="4" type="noConversion"/>
  </si>
  <si>
    <t>Pride and Prejudice</t>
    <phoneticPr fontId="12" type="noConversion"/>
  </si>
  <si>
    <t>乌合之众</t>
    <phoneticPr fontId="12" type="noConversion"/>
  </si>
  <si>
    <t>Scales</t>
    <phoneticPr fontId="4" type="noConversion"/>
  </si>
  <si>
    <t>Sat</t>
    <phoneticPr fontId="4" type="noConversion"/>
  </si>
  <si>
    <t>Computer Science</t>
  </si>
  <si>
    <t>underflow</t>
  </si>
  <si>
    <t>下溢(数值过小至不能精确表示)</t>
  </si>
  <si>
    <t>Thu</t>
    <phoneticPr fontId="4" type="noConversion"/>
  </si>
  <si>
    <t>Rocket Items</t>
  </si>
  <si>
    <t>闪击英雄</t>
    <phoneticPr fontId="12" type="noConversion"/>
  </si>
  <si>
    <t>野蛮大陆</t>
    <phoneticPr fontId="12" type="noConversion"/>
  </si>
  <si>
    <t>动物庄园</t>
    <phoneticPr fontId="12" type="noConversion"/>
  </si>
  <si>
    <t>WORK
TIME</t>
    <phoneticPr fontId="4" type="noConversion"/>
  </si>
  <si>
    <t>Minor Random</t>
    <phoneticPr fontId="12" type="noConversion"/>
  </si>
  <si>
    <t>A</t>
    <phoneticPr fontId="12" type="noConversion"/>
  </si>
  <si>
    <t>B</t>
    <phoneticPr fontId="12" type="noConversion"/>
  </si>
  <si>
    <t>C</t>
    <phoneticPr fontId="12" type="noConversion"/>
  </si>
  <si>
    <t>D</t>
    <phoneticPr fontId="12" type="noConversion"/>
  </si>
  <si>
    <t>Base</t>
    <phoneticPr fontId="4" type="noConversion"/>
  </si>
  <si>
    <t>Last E15</t>
    <phoneticPr fontId="4" type="noConversion"/>
  </si>
  <si>
    <t>This E15</t>
    <phoneticPr fontId="4" type="noConversion"/>
  </si>
  <si>
    <t>Balance</t>
    <phoneticPr fontId="4" type="noConversion"/>
  </si>
  <si>
    <t>TIME</t>
    <phoneticPr fontId="4" type="noConversion"/>
  </si>
  <si>
    <t>Weekly Expense</t>
    <phoneticPr fontId="4" type="noConversion"/>
  </si>
  <si>
    <t>Added by Monthly</t>
    <phoneticPr fontId="4" type="noConversion"/>
  </si>
  <si>
    <t>Minor Random</t>
    <phoneticPr fontId="4" type="noConversion"/>
  </si>
  <si>
    <t>Amount</t>
    <phoneticPr fontId="4" type="noConversion"/>
  </si>
  <si>
    <t>西方文学的故事</t>
    <phoneticPr fontId="12" type="noConversion"/>
  </si>
  <si>
    <t>智齿</t>
    <phoneticPr fontId="12" type="noConversion"/>
  </si>
  <si>
    <t>Rainlendar Tasks</t>
    <phoneticPr fontId="4" type="noConversion"/>
  </si>
  <si>
    <t>Even</t>
    <phoneticPr fontId="4" type="noConversion"/>
  </si>
  <si>
    <t>J</t>
    <phoneticPr fontId="12" type="noConversion"/>
  </si>
  <si>
    <t>Points</t>
    <phoneticPr fontId="4" type="noConversion"/>
  </si>
  <si>
    <t>卓有成效的管理者</t>
    <phoneticPr fontId="12" type="noConversion"/>
  </si>
  <si>
    <t>Computer Books scanner</t>
    <phoneticPr fontId="4" type="noConversion"/>
  </si>
  <si>
    <t>Special Tasks</t>
    <phoneticPr fontId="4" type="noConversion"/>
  </si>
  <si>
    <t>数学之美</t>
    <phoneticPr fontId="12" type="noConversion"/>
  </si>
  <si>
    <t>GDPR</t>
    <phoneticPr fontId="12" type="noConversion"/>
  </si>
  <si>
    <t>General Data Protection Regulation</t>
    <phoneticPr fontId="12" type="noConversion"/>
  </si>
  <si>
    <t>通用数据保护条例</t>
    <phoneticPr fontId="12" type="noConversion"/>
  </si>
  <si>
    <t>E</t>
    <phoneticPr fontId="12" type="noConversion"/>
  </si>
  <si>
    <t>F</t>
    <phoneticPr fontId="12" type="noConversion"/>
  </si>
  <si>
    <t>G</t>
    <phoneticPr fontId="12" type="noConversion"/>
  </si>
  <si>
    <t>H</t>
    <phoneticPr fontId="12" type="noConversion"/>
  </si>
  <si>
    <t>I</t>
    <phoneticPr fontId="4" type="noConversion"/>
  </si>
  <si>
    <t>K</t>
    <phoneticPr fontId="12" type="noConversion"/>
  </si>
  <si>
    <t>L</t>
    <phoneticPr fontId="12" type="noConversion"/>
  </si>
  <si>
    <t>Move tools Classes from tools project to all-in-all project</t>
    <phoneticPr fontId="4" type="noConversion"/>
  </si>
  <si>
    <t>最寒冷的冬天</t>
    <phoneticPr fontId="12" type="noConversion"/>
  </si>
  <si>
    <t>Zhihu Fav</t>
    <phoneticPr fontId="4" type="noConversion"/>
  </si>
  <si>
    <t>Reading</t>
    <phoneticPr fontId="4" type="noConversion"/>
  </si>
  <si>
    <t>Magazine</t>
    <phoneticPr fontId="4" type="noConversion"/>
  </si>
  <si>
    <t>English Translation</t>
    <phoneticPr fontId="4" type="noConversion"/>
  </si>
  <si>
    <t>Deutsch</t>
    <phoneticPr fontId="4" type="noConversion"/>
  </si>
  <si>
    <t>English Listening</t>
    <phoneticPr fontId="4" type="noConversion"/>
  </si>
  <si>
    <t>Web Service</t>
    <phoneticPr fontId="12" type="noConversion"/>
  </si>
  <si>
    <t>SSL</t>
    <phoneticPr fontId="12" type="noConversion"/>
  </si>
  <si>
    <t>Spring Cloud</t>
    <phoneticPr fontId="12" type="noConversion"/>
  </si>
  <si>
    <t>Spring Boot</t>
    <phoneticPr fontId="12" type="noConversion"/>
  </si>
  <si>
    <t>Maven</t>
    <phoneticPr fontId="12" type="noConversion"/>
  </si>
  <si>
    <t>Lucene</t>
    <phoneticPr fontId="12" type="noConversion"/>
  </si>
  <si>
    <t>Kubernetes</t>
    <phoneticPr fontId="12" type="noConversion"/>
  </si>
  <si>
    <t>Linux</t>
    <phoneticPr fontId="12" type="noConversion"/>
  </si>
  <si>
    <t>JVM</t>
    <phoneticPr fontId="12" type="noConversion"/>
  </si>
  <si>
    <t>Effective Java</t>
    <phoneticPr fontId="12" type="noConversion"/>
  </si>
  <si>
    <t>Concurrency</t>
    <phoneticPr fontId="12" type="noConversion"/>
  </si>
  <si>
    <t>PostgreSQL</t>
    <phoneticPr fontId="12" type="noConversion"/>
  </si>
  <si>
    <t>Docker</t>
    <phoneticPr fontId="12" type="noConversion"/>
  </si>
  <si>
    <t>Akka</t>
    <phoneticPr fontId="12" type="noConversion"/>
  </si>
  <si>
    <t>Level III</t>
    <phoneticPr fontId="12" type="noConversion"/>
  </si>
  <si>
    <t>Level II</t>
    <phoneticPr fontId="12" type="noConversion"/>
  </si>
  <si>
    <t>Level I</t>
    <phoneticPr fontId="12" type="noConversion"/>
  </si>
  <si>
    <t>Quick Start</t>
    <phoneticPr fontId="12" type="noConversion"/>
  </si>
  <si>
    <t>Video</t>
    <phoneticPr fontId="12" type="noConversion"/>
  </si>
  <si>
    <t>Practice</t>
    <phoneticPr fontId="12" type="noConversion"/>
  </si>
  <si>
    <t>Book</t>
    <phoneticPr fontId="12" type="noConversion"/>
  </si>
  <si>
    <t>javalib</t>
    <phoneticPr fontId="4" type="noConversion"/>
  </si>
  <si>
    <t>Practice</t>
    <phoneticPr fontId="4" type="noConversion"/>
  </si>
  <si>
    <t>Authentication</t>
    <phoneticPr fontId="12" type="noConversion"/>
  </si>
  <si>
    <t>Basic Authentication</t>
    <phoneticPr fontId="12" type="noConversion"/>
  </si>
  <si>
    <t>Jenkins</t>
    <phoneticPr fontId="12" type="noConversion"/>
  </si>
  <si>
    <t>JWT</t>
    <phoneticPr fontId="12" type="noConversion"/>
  </si>
  <si>
    <t>SSO</t>
    <phoneticPr fontId="12" type="noConversion"/>
  </si>
  <si>
    <t>Spider nets</t>
    <phoneticPr fontId="4" type="noConversion"/>
  </si>
  <si>
    <t>Git</t>
    <phoneticPr fontId="12" type="noConversion"/>
  </si>
  <si>
    <t>MapReduce</t>
    <phoneticPr fontId="12" type="noConversion"/>
  </si>
  <si>
    <t>NoSQL</t>
    <phoneticPr fontId="12" type="noConversion"/>
  </si>
  <si>
    <t>CRM</t>
    <phoneticPr fontId="12" type="noConversion"/>
  </si>
  <si>
    <t>数理统计</t>
    <phoneticPr fontId="12" type="noConversion"/>
  </si>
  <si>
    <t>Python</t>
    <phoneticPr fontId="12" type="noConversion"/>
  </si>
  <si>
    <t>Canon Research</t>
    <phoneticPr fontId="4" type="noConversion"/>
  </si>
  <si>
    <t>nginx</t>
    <phoneticPr fontId="12" type="noConversion"/>
  </si>
  <si>
    <t>JSONB type</t>
    <phoneticPr fontId="12" type="noConversion"/>
  </si>
  <si>
    <t>Agile</t>
    <phoneticPr fontId="12" type="noConversion"/>
  </si>
  <si>
    <t>IDEA</t>
    <phoneticPr fontId="12" type="noConversion"/>
  </si>
  <si>
    <t>Performance Tuning</t>
    <phoneticPr fontId="12" type="noConversion"/>
  </si>
  <si>
    <t>CDN</t>
    <phoneticPr fontId="12" type="noConversion"/>
  </si>
  <si>
    <t>TPA</t>
    <phoneticPr fontId="12" type="noConversion"/>
  </si>
  <si>
    <t>Third Party Administrator</t>
    <phoneticPr fontId="12" type="noConversion"/>
  </si>
  <si>
    <t>第三方管理公司</t>
    <phoneticPr fontId="12" type="noConversion"/>
  </si>
  <si>
    <t>LOANS</t>
    <phoneticPr fontId="4" type="noConversion"/>
  </si>
  <si>
    <t>Service Mesh</t>
    <phoneticPr fontId="12" type="noConversion"/>
  </si>
  <si>
    <t>Istio</t>
    <phoneticPr fontId="12" type="noConversion"/>
  </si>
  <si>
    <t>Intro</t>
    <phoneticPr fontId="12" type="noConversion"/>
  </si>
  <si>
    <t>Hadoop</t>
    <phoneticPr fontId="12" type="noConversion"/>
  </si>
  <si>
    <t>Deep Learning</t>
    <phoneticPr fontId="12" type="noConversion"/>
  </si>
  <si>
    <t>Machine Learning</t>
    <phoneticPr fontId="12" type="noConversion"/>
  </si>
  <si>
    <t>Functional Programming</t>
    <phoneticPr fontId="12" type="noConversion"/>
  </si>
  <si>
    <t>Algorithm</t>
    <phoneticPr fontId="12" type="noConversion"/>
  </si>
  <si>
    <t>Redis</t>
    <phoneticPr fontId="12" type="noConversion"/>
  </si>
  <si>
    <t>Cash</t>
    <phoneticPr fontId="4" type="noConversion"/>
  </si>
  <si>
    <t>Local -&gt; Git</t>
    <phoneticPr fontId="4" type="noConversion"/>
  </si>
  <si>
    <t>三</t>
    <phoneticPr fontId="12" type="noConversion"/>
  </si>
  <si>
    <t>上帝掷骰子吗</t>
    <phoneticPr fontId="12" type="noConversion"/>
  </si>
  <si>
    <t>RETRO</t>
  </si>
  <si>
    <t>STOCK DYNAMICS</t>
    <phoneticPr fontId="4" type="noConversion"/>
  </si>
  <si>
    <t>Quotes</t>
    <phoneticPr fontId="4" type="noConversion"/>
  </si>
  <si>
    <t>明朝那些事儿(三)</t>
    <phoneticPr fontId="12" type="noConversion"/>
  </si>
  <si>
    <t>书卷轮</t>
    <phoneticPr fontId="12" type="noConversion"/>
  </si>
  <si>
    <t>书单</t>
    <phoneticPr fontId="12" type="noConversion"/>
  </si>
  <si>
    <t>甲骨文丛书</t>
    <phoneticPr fontId="12" type="noConversion"/>
  </si>
  <si>
    <t>V. Profit</t>
    <phoneticPr fontId="4" type="noConversion"/>
  </si>
  <si>
    <t>购书单</t>
    <phoneticPr fontId="12" type="noConversion"/>
  </si>
  <si>
    <t>想读列表</t>
    <phoneticPr fontId="12" type="noConversion"/>
  </si>
  <si>
    <t>已读所属丛书</t>
    <phoneticPr fontId="12" type="noConversion"/>
  </si>
  <si>
    <t>PC电子书</t>
    <phoneticPr fontId="12" type="noConversion"/>
  </si>
  <si>
    <t>SAML</t>
    <phoneticPr fontId="12" type="noConversion"/>
  </si>
  <si>
    <t>OpenID</t>
    <phoneticPr fontId="12" type="noConversion"/>
  </si>
  <si>
    <t>KeyCloak</t>
    <phoneticPr fontId="12" type="noConversion"/>
  </si>
  <si>
    <t>PingID</t>
    <phoneticPr fontId="12" type="noConversion"/>
  </si>
  <si>
    <t>Repository</t>
    <phoneticPr fontId="12" type="noConversion"/>
  </si>
  <si>
    <t>Learning</t>
    <phoneticPr fontId="12" type="noConversion"/>
  </si>
  <si>
    <t>Costing</t>
    <phoneticPr fontId="12" type="noConversion"/>
  </si>
  <si>
    <t>Hibernate</t>
    <phoneticPr fontId="12" type="noConversion"/>
  </si>
  <si>
    <t>Order</t>
    <phoneticPr fontId="12" type="noConversion"/>
  </si>
  <si>
    <t>ETL</t>
    <phoneticPr fontId="12" type="noConversion"/>
  </si>
  <si>
    <t>Talend</t>
    <phoneticPr fontId="12" type="noConversion"/>
  </si>
  <si>
    <t>Well-Architectured</t>
    <phoneticPr fontId="12" type="noConversion"/>
  </si>
  <si>
    <t>Comics</t>
    <phoneticPr fontId="4" type="noConversion"/>
  </si>
  <si>
    <t>Head First Data Analysis</t>
    <phoneticPr fontId="12" type="noConversion"/>
  </si>
  <si>
    <t>mount</t>
    <phoneticPr fontId="12" type="noConversion"/>
  </si>
  <si>
    <t>File System</t>
    <phoneticPr fontId="12" type="noConversion"/>
  </si>
  <si>
    <t>ELB</t>
    <phoneticPr fontId="12" type="noConversion"/>
  </si>
  <si>
    <t>Data Analysis</t>
    <phoneticPr fontId="12" type="noConversion"/>
  </si>
  <si>
    <t>Salesforce</t>
    <phoneticPr fontId="12" type="noConversion"/>
  </si>
  <si>
    <t>SFMC</t>
    <phoneticPr fontId="12" type="noConversion"/>
  </si>
  <si>
    <t>JSON</t>
    <phoneticPr fontId="12" type="noConversion"/>
  </si>
  <si>
    <t>JSON Path</t>
    <phoneticPr fontId="12" type="noConversion"/>
  </si>
  <si>
    <t>Athena</t>
    <phoneticPr fontId="12" type="noConversion"/>
  </si>
  <si>
    <t>CLI</t>
    <phoneticPr fontId="12" type="noConversion"/>
  </si>
  <si>
    <t>MySQL</t>
    <phoneticPr fontId="12" type="noConversion"/>
  </si>
  <si>
    <t>Regular Expression</t>
    <phoneticPr fontId="12" type="noConversion"/>
  </si>
  <si>
    <t>Network Programming</t>
    <phoneticPr fontId="12" type="noConversion"/>
  </si>
  <si>
    <t>HTTP</t>
    <phoneticPr fontId="12" type="noConversion"/>
  </si>
  <si>
    <t>High Availability</t>
    <phoneticPr fontId="12" type="noConversion"/>
  </si>
  <si>
    <t>NLP</t>
    <phoneticPr fontId="12" type="noConversion"/>
  </si>
  <si>
    <t>Distributed Search</t>
    <phoneticPr fontId="12" type="noConversion"/>
  </si>
  <si>
    <t>Real-time Index</t>
    <phoneticPr fontId="12" type="noConversion"/>
  </si>
  <si>
    <t>Solr</t>
    <phoneticPr fontId="12" type="noConversion"/>
  </si>
  <si>
    <t>Shell</t>
    <phoneticPr fontId="12" type="noConversion"/>
  </si>
  <si>
    <t>Big Data</t>
    <phoneticPr fontId="12" type="noConversion"/>
  </si>
  <si>
    <t>HDFS</t>
    <phoneticPr fontId="12" type="noConversion"/>
  </si>
  <si>
    <t>Hive</t>
    <phoneticPr fontId="12" type="noConversion"/>
  </si>
  <si>
    <t>Scala</t>
    <phoneticPr fontId="12" type="noConversion"/>
  </si>
  <si>
    <t>SQL</t>
    <phoneticPr fontId="12" type="noConversion"/>
  </si>
  <si>
    <t>SVM</t>
    <phoneticPr fontId="12" type="noConversion"/>
  </si>
  <si>
    <t>回归算法</t>
    <phoneticPr fontId="12" type="noConversion"/>
  </si>
  <si>
    <t>Caffe</t>
    <phoneticPr fontId="12" type="noConversion"/>
  </si>
  <si>
    <t>TensorFlow</t>
    <phoneticPr fontId="12" type="noConversion"/>
  </si>
  <si>
    <t>Keras</t>
    <phoneticPr fontId="12" type="noConversion"/>
  </si>
  <si>
    <t>CNN</t>
    <phoneticPr fontId="12" type="noConversion"/>
  </si>
  <si>
    <t>RNN</t>
    <phoneticPr fontId="12" type="noConversion"/>
  </si>
  <si>
    <t>LSTM</t>
    <phoneticPr fontId="12" type="noConversion"/>
  </si>
  <si>
    <t>Reinforced Learning</t>
    <phoneticPr fontId="12" type="noConversion"/>
  </si>
  <si>
    <t>Numpy</t>
    <phoneticPr fontId="12" type="noConversion"/>
  </si>
  <si>
    <t>Pandas</t>
    <phoneticPr fontId="12" type="noConversion"/>
  </si>
  <si>
    <t>Scikit-learn</t>
    <phoneticPr fontId="12" type="noConversion"/>
  </si>
  <si>
    <t>Monthly Gross</t>
    <phoneticPr fontId="4" type="noConversion"/>
  </si>
  <si>
    <t>Permissions</t>
    <phoneticPr fontId="12" type="noConversion"/>
  </si>
  <si>
    <t>Security</t>
    <phoneticPr fontId="12" type="noConversion"/>
  </si>
  <si>
    <t>CORS</t>
    <phoneticPr fontId="12" type="noConversion"/>
  </si>
  <si>
    <t>Web Hosting</t>
    <phoneticPr fontId="12" type="noConversion"/>
  </si>
  <si>
    <t>Rocket Learning</t>
    <phoneticPr fontId="4" type="noConversion"/>
  </si>
  <si>
    <t>One Time Arrangement</t>
    <phoneticPr fontId="4" type="noConversion"/>
  </si>
  <si>
    <t>Many Periods with Ending</t>
    <phoneticPr fontId="4" type="noConversion"/>
  </si>
  <si>
    <t>Period Events</t>
    <phoneticPr fontId="4" type="noConversion"/>
  </si>
  <si>
    <t>Entertainments</t>
    <phoneticPr fontId="4" type="noConversion"/>
  </si>
  <si>
    <t>Life Easier</t>
    <phoneticPr fontId="4" type="noConversion"/>
  </si>
  <si>
    <t>Rocket Scheduler</t>
    <phoneticPr fontId="4" type="noConversion"/>
  </si>
  <si>
    <t>Major</t>
    <phoneticPr fontId="4" type="noConversion"/>
  </si>
  <si>
    <t>Minor</t>
    <phoneticPr fontId="4" type="noConversion"/>
  </si>
  <si>
    <t>Rainlender</t>
    <phoneticPr fontId="4" type="noConversion"/>
  </si>
  <si>
    <t>CloudFront</t>
    <phoneticPr fontId="12" type="noConversion"/>
  </si>
  <si>
    <t>Availability Zone</t>
    <phoneticPr fontId="12" type="noConversion"/>
  </si>
  <si>
    <t>Snapshot</t>
    <phoneticPr fontId="12" type="noConversion"/>
  </si>
  <si>
    <t>Recovery</t>
    <phoneticPr fontId="12" type="noConversion"/>
  </si>
  <si>
    <t>Index for Minor</t>
    <phoneticPr fontId="12" type="noConversion"/>
  </si>
  <si>
    <t>=</t>
    <phoneticPr fontId="12" type="noConversion"/>
  </si>
  <si>
    <t>Gson</t>
    <phoneticPr fontId="12" type="noConversion"/>
  </si>
  <si>
    <t>Airflow</t>
    <phoneticPr fontId="12" type="noConversion"/>
  </si>
  <si>
    <t>Thread Pool</t>
    <phoneticPr fontId="12" type="noConversion"/>
  </si>
  <si>
    <t>Indexing</t>
    <phoneticPr fontId="12" type="noConversion"/>
  </si>
  <si>
    <t>Data Structure</t>
    <phoneticPr fontId="12" type="noConversion"/>
  </si>
  <si>
    <t>Binary Tree</t>
    <phoneticPr fontId="12" type="noConversion"/>
  </si>
  <si>
    <t>Red Black Tree</t>
    <phoneticPr fontId="12" type="noConversion"/>
  </si>
  <si>
    <t>Hash Table</t>
    <phoneticPr fontId="12" type="noConversion"/>
  </si>
  <si>
    <t>B-Tree</t>
    <phoneticPr fontId="12" type="noConversion"/>
  </si>
  <si>
    <t>Binary Sort Tree</t>
    <phoneticPr fontId="12" type="noConversion"/>
  </si>
  <si>
    <t>Jinja templating engine</t>
    <phoneticPr fontId="12" type="noConversion"/>
  </si>
  <si>
    <t>Oozie</t>
    <phoneticPr fontId="12" type="noConversion"/>
  </si>
  <si>
    <t>Azkaban</t>
    <phoneticPr fontId="12" type="noConversion"/>
  </si>
  <si>
    <t>zygodactylous</t>
    <phoneticPr fontId="12" type="noConversion"/>
  </si>
  <si>
    <t>对趾的,前后有双趾的</t>
    <phoneticPr fontId="12" type="noConversion"/>
  </si>
  <si>
    <t>link</t>
    <phoneticPr fontId="12" type="noConversion"/>
  </si>
  <si>
    <t>B+ Tree</t>
    <phoneticPr fontId="12" type="noConversion"/>
  </si>
  <si>
    <t>InnoDB</t>
    <phoneticPr fontId="12" type="noConversion"/>
  </si>
  <si>
    <t>Storage Engine</t>
    <phoneticPr fontId="12" type="noConversion"/>
  </si>
  <si>
    <t>Commercial</t>
    <phoneticPr fontId="12" type="noConversion"/>
  </si>
  <si>
    <t>Email Direct Marketing</t>
    <phoneticPr fontId="12" type="noConversion"/>
  </si>
  <si>
    <t>EDM</t>
    <phoneticPr fontId="12" type="noConversion"/>
  </si>
  <si>
    <t>电子邮件营销</t>
    <phoneticPr fontId="12" type="noConversion"/>
  </si>
  <si>
    <t>Quota</t>
    <phoneticPr fontId="4" type="noConversion"/>
  </si>
  <si>
    <t>Monthly</t>
    <phoneticPr fontId="4" type="noConversion"/>
  </si>
  <si>
    <t>Weekly</t>
    <phoneticPr fontId="4" type="noConversion"/>
  </si>
  <si>
    <t>vote of confidence</t>
    <phoneticPr fontId="12" type="noConversion"/>
  </si>
  <si>
    <t>信任投票</t>
    <phoneticPr fontId="12" type="noConversion"/>
  </si>
  <si>
    <t>Celery</t>
    <phoneticPr fontId="12" type="noConversion"/>
  </si>
  <si>
    <t>Dask</t>
    <phoneticPr fontId="12" type="noConversion"/>
  </si>
  <si>
    <t>MyBatis</t>
    <phoneticPr fontId="12" type="noConversion"/>
  </si>
  <si>
    <t>TLS</t>
    <phoneticPr fontId="12" type="noConversion"/>
  </si>
  <si>
    <t>Netty</t>
    <phoneticPr fontId="12" type="noConversion"/>
  </si>
  <si>
    <t>Tomcat</t>
    <phoneticPr fontId="12" type="noConversion"/>
  </si>
  <si>
    <t>Jenkinfile</t>
    <phoneticPr fontId="12" type="noConversion"/>
  </si>
  <si>
    <t>Pylint</t>
    <phoneticPr fontId="12" type="noConversion"/>
  </si>
  <si>
    <t>pytest</t>
    <phoneticPr fontId="12" type="noConversion"/>
  </si>
  <si>
    <t>GitHub</t>
    <phoneticPr fontId="12" type="noConversion"/>
  </si>
  <si>
    <t>Billboard</t>
    <phoneticPr fontId="12" type="noConversion"/>
  </si>
  <si>
    <t>Cookie</t>
    <phoneticPr fontId="12" type="noConversion"/>
  </si>
  <si>
    <t>Data Lineage</t>
    <phoneticPr fontId="12" type="noConversion"/>
  </si>
  <si>
    <t>Apache Mesos</t>
    <phoneticPr fontId="12" type="noConversion"/>
  </si>
  <si>
    <t>Python egg</t>
    <phoneticPr fontId="12" type="noConversion"/>
  </si>
  <si>
    <t>Pipeline</t>
    <phoneticPr fontId="12" type="noConversion"/>
  </si>
  <si>
    <t>MAGIC</t>
    <phoneticPr fontId="4" type="noConversion"/>
  </si>
  <si>
    <t>yum</t>
    <phoneticPr fontId="12" type="noConversion"/>
  </si>
  <si>
    <t>configuration manager</t>
    <phoneticPr fontId="12" type="noConversion"/>
  </si>
  <si>
    <t>subscription manager</t>
    <phoneticPr fontId="12" type="noConversion"/>
  </si>
  <si>
    <t>DNS</t>
    <phoneticPr fontId="12" type="noConversion"/>
  </si>
  <si>
    <t>Spring MVC</t>
    <phoneticPr fontId="12" type="noConversion"/>
  </si>
  <si>
    <t>Linux Shell</t>
    <phoneticPr fontId="12" type="noConversion"/>
  </si>
  <si>
    <t>BASH</t>
    <phoneticPr fontId="12" type="noConversion"/>
  </si>
  <si>
    <t>KSH</t>
    <phoneticPr fontId="12" type="noConversion"/>
  </si>
  <si>
    <t>traceroute</t>
    <phoneticPr fontId="12" type="noConversion"/>
  </si>
  <si>
    <t>Reactive Programming</t>
    <phoneticPr fontId="12" type="noConversion"/>
  </si>
  <si>
    <t>Postman</t>
    <phoneticPr fontId="12" type="noConversion"/>
  </si>
  <si>
    <t>Access Token</t>
    <phoneticPr fontId="12" type="noConversion"/>
  </si>
  <si>
    <t>Statistics</t>
    <phoneticPr fontId="12" type="noConversion"/>
  </si>
  <si>
    <t>概率论</t>
    <phoneticPr fontId="12" type="noConversion"/>
  </si>
  <si>
    <t>信息论</t>
    <phoneticPr fontId="12" type="noConversion"/>
  </si>
  <si>
    <t>线性代数</t>
    <phoneticPr fontId="12" type="noConversion"/>
  </si>
  <si>
    <t>数值分析</t>
    <phoneticPr fontId="12" type="noConversion"/>
  </si>
  <si>
    <t>YARN</t>
    <phoneticPr fontId="12" type="noConversion"/>
  </si>
  <si>
    <t>Cassandra</t>
    <phoneticPr fontId="12" type="noConversion"/>
  </si>
  <si>
    <t>HBase</t>
    <phoneticPr fontId="12" type="noConversion"/>
  </si>
  <si>
    <t>ZooKeeper</t>
    <phoneticPr fontId="12" type="noConversion"/>
  </si>
  <si>
    <t>MapR</t>
    <phoneticPr fontId="12" type="noConversion"/>
  </si>
  <si>
    <t>Class Loading</t>
    <phoneticPr fontId="12" type="noConversion"/>
  </si>
  <si>
    <t>Dynamic Proxy</t>
    <phoneticPr fontId="12" type="noConversion"/>
  </si>
  <si>
    <t>NIO</t>
    <phoneticPr fontId="12" type="noConversion"/>
  </si>
  <si>
    <t>IO</t>
    <phoneticPr fontId="12" type="noConversion"/>
  </si>
  <si>
    <t>Selector</t>
    <phoneticPr fontId="12" type="noConversion"/>
  </si>
  <si>
    <t>Java Dump</t>
    <phoneticPr fontId="12" type="noConversion"/>
  </si>
  <si>
    <t>Java Concurrency</t>
    <phoneticPr fontId="12" type="noConversion"/>
  </si>
  <si>
    <t>CountDownLatch</t>
    <phoneticPr fontId="12" type="noConversion"/>
  </si>
  <si>
    <t>ReentrantLock</t>
    <phoneticPr fontId="12" type="noConversion"/>
  </si>
  <si>
    <t>Fork-Join</t>
    <phoneticPr fontId="12" type="noConversion"/>
  </si>
  <si>
    <t>Spring Bean</t>
    <phoneticPr fontId="12" type="noConversion"/>
  </si>
  <si>
    <t>Bean Scope</t>
    <phoneticPr fontId="12" type="noConversion"/>
  </si>
  <si>
    <t>Design Patterns</t>
    <phoneticPr fontId="12" type="noConversion"/>
  </si>
  <si>
    <t>Parsing</t>
    <phoneticPr fontId="12" type="noConversion"/>
  </si>
  <si>
    <t>Commands</t>
    <phoneticPr fontId="12" type="noConversion"/>
  </si>
  <si>
    <t>javac</t>
    <phoneticPr fontId="12" type="noConversion"/>
  </si>
  <si>
    <t>java</t>
    <phoneticPr fontId="12" type="noConversion"/>
  </si>
  <si>
    <t>jar</t>
    <phoneticPr fontId="12" type="noConversion"/>
  </si>
  <si>
    <t>javap</t>
    <phoneticPr fontId="12" type="noConversion"/>
  </si>
  <si>
    <t>jconsole</t>
    <phoneticPr fontId="12" type="noConversion"/>
  </si>
  <si>
    <t>jmc</t>
    <phoneticPr fontId="12" type="noConversion"/>
  </si>
  <si>
    <t>jvisualjvm</t>
    <phoneticPr fontId="12" type="noConversion"/>
  </si>
  <si>
    <t>L2 Cache</t>
    <phoneticPr fontId="12" type="noConversion"/>
  </si>
  <si>
    <t>Database</t>
    <phoneticPr fontId="12" type="noConversion"/>
  </si>
  <si>
    <t>Database Transaction</t>
    <phoneticPr fontId="12" type="noConversion"/>
  </si>
  <si>
    <t>Database Cursor</t>
    <phoneticPr fontId="12" type="noConversion"/>
  </si>
  <si>
    <t>HashMap</t>
    <phoneticPr fontId="12" type="noConversion"/>
  </si>
  <si>
    <t>ConcurrentHashMap</t>
    <phoneticPr fontId="12" type="noConversion"/>
  </si>
  <si>
    <t>Java Collections</t>
    <phoneticPr fontId="12" type="noConversion"/>
  </si>
  <si>
    <t>TreeSet</t>
    <phoneticPr fontId="12" type="noConversion"/>
  </si>
  <si>
    <t>Proxying Mechanisms</t>
    <phoneticPr fontId="12" type="noConversion"/>
  </si>
  <si>
    <t>Multi-Threading</t>
    <phoneticPr fontId="12" type="noConversion"/>
  </si>
  <si>
    <t>Scrum</t>
    <phoneticPr fontId="12" type="noConversion"/>
  </si>
  <si>
    <t>JUnit</t>
    <phoneticPr fontId="12" type="noConversion"/>
  </si>
  <si>
    <t>Spring XD</t>
    <phoneticPr fontId="12" type="noConversion"/>
  </si>
  <si>
    <t>欠拟合</t>
    <phoneticPr fontId="12" type="noConversion"/>
  </si>
  <si>
    <t>过拟合</t>
    <phoneticPr fontId="12" type="noConversion"/>
  </si>
  <si>
    <t>卷积</t>
    <phoneticPr fontId="12" type="noConversion"/>
  </si>
  <si>
    <t>Distributed Consensus</t>
    <phoneticPr fontId="12" type="noConversion"/>
  </si>
  <si>
    <t>Raft</t>
    <phoneticPr fontId="12" type="noConversion"/>
  </si>
  <si>
    <t>WeChat Mini-program</t>
    <phoneticPr fontId="12" type="noConversion"/>
  </si>
  <si>
    <t>Web Crawler</t>
    <phoneticPr fontId="12" type="noConversion"/>
  </si>
  <si>
    <t>Latency</t>
    <phoneticPr fontId="12" type="noConversion"/>
  </si>
  <si>
    <t>F5</t>
    <phoneticPr fontId="12" type="noConversion"/>
  </si>
  <si>
    <t>ConcurrentLinkedQueue</t>
    <phoneticPr fontId="12" type="noConversion"/>
  </si>
  <si>
    <t>CompletableFuture</t>
    <phoneticPr fontId="12" type="noConversion"/>
  </si>
  <si>
    <t>Lock</t>
    <phoneticPr fontId="12" type="noConversion"/>
  </si>
  <si>
    <t>Condition</t>
    <phoneticPr fontId="12" type="noConversion"/>
  </si>
  <si>
    <t>Java Utils</t>
    <phoneticPr fontId="12" type="noConversion"/>
  </si>
  <si>
    <t>Optional</t>
    <phoneticPr fontId="12" type="noConversion"/>
  </si>
  <si>
    <t>OAuth</t>
    <phoneticPr fontId="12" type="noConversion"/>
  </si>
  <si>
    <t>Spring Design Patterns</t>
    <phoneticPr fontId="12" type="noConversion"/>
  </si>
  <si>
    <t>IdentityHashMap</t>
    <phoneticPr fontId="12" type="noConversion"/>
  </si>
  <si>
    <t>Apache Spark</t>
    <phoneticPr fontId="12" type="noConversion"/>
  </si>
  <si>
    <t>Spark Streaming</t>
    <phoneticPr fontId="12" type="noConversion"/>
  </si>
  <si>
    <t>Stream Processing</t>
    <phoneticPr fontId="12" type="noConversion"/>
  </si>
  <si>
    <t>RabbitMQ</t>
    <phoneticPr fontId="12" type="noConversion"/>
  </si>
  <si>
    <t>Reflection</t>
    <phoneticPr fontId="12" type="noConversion"/>
  </si>
  <si>
    <t>Logging</t>
    <phoneticPr fontId="12" type="noConversion"/>
  </si>
  <si>
    <t>Transient Modifier</t>
    <phoneticPr fontId="12" type="noConversion"/>
  </si>
  <si>
    <t>Distributed Computing</t>
    <phoneticPr fontId="12" type="noConversion"/>
  </si>
  <si>
    <t>Distributed System</t>
    <phoneticPr fontId="12" type="noConversion"/>
  </si>
  <si>
    <t>VPC</t>
    <phoneticPr fontId="12" type="noConversion"/>
  </si>
  <si>
    <t>KEDA</t>
    <phoneticPr fontId="12" type="noConversion"/>
  </si>
  <si>
    <t>Apache Kafka</t>
    <phoneticPr fontId="12" type="noConversion"/>
  </si>
  <si>
    <t>MSK</t>
    <phoneticPr fontId="12" type="noConversion"/>
  </si>
  <si>
    <t>limbic system</t>
    <phoneticPr fontId="12" type="noConversion"/>
  </si>
  <si>
    <t>边缘系统</t>
    <phoneticPr fontId="12" type="noConversion"/>
  </si>
  <si>
    <t>Docs</t>
    <phoneticPr fontId="12" type="noConversion"/>
  </si>
  <si>
    <t>Tutorial</t>
    <phoneticPr fontId="12" type="noConversion"/>
  </si>
  <si>
    <t>API Gateway</t>
    <phoneticPr fontId="12" type="noConversion"/>
  </si>
  <si>
    <t>Event Stream Processing</t>
    <phoneticPr fontId="12" type="noConversion"/>
  </si>
  <si>
    <t>Streams API</t>
    <phoneticPr fontId="12" type="noConversion"/>
  </si>
  <si>
    <t>market rally</t>
    <phoneticPr fontId="12" type="noConversion"/>
  </si>
  <si>
    <t>股市重振,市场恢复</t>
    <phoneticPr fontId="12" type="noConversion"/>
  </si>
  <si>
    <t>CompletionStage</t>
    <phoneticPr fontId="12" type="noConversion"/>
  </si>
  <si>
    <t>在读</t>
    <phoneticPr fontId="12" type="noConversion"/>
  </si>
  <si>
    <t>图灵书目</t>
    <phoneticPr fontId="12" type="noConversion"/>
  </si>
  <si>
    <t>Learning Arrange</t>
    <phoneticPr fontId="4" type="noConversion"/>
  </si>
  <si>
    <t>New Songs</t>
    <phoneticPr fontId="4" type="noConversion"/>
  </si>
  <si>
    <t>Kafka Connect</t>
    <phoneticPr fontId="12" type="noConversion"/>
  </si>
  <si>
    <t>Lambda</t>
    <phoneticPr fontId="12" type="noConversion"/>
  </si>
  <si>
    <t>Subnet</t>
    <phoneticPr fontId="12" type="noConversion"/>
  </si>
  <si>
    <t>Networking</t>
    <phoneticPr fontId="12" type="noConversion"/>
  </si>
  <si>
    <t>IP</t>
    <phoneticPr fontId="12" type="noConversion"/>
  </si>
  <si>
    <t>CIDR</t>
    <phoneticPr fontId="12" type="noConversion"/>
  </si>
  <si>
    <t>NAT Gateway</t>
    <phoneticPr fontId="12" type="noConversion"/>
  </si>
  <si>
    <t>Streaming API</t>
    <phoneticPr fontId="12" type="noConversion"/>
  </si>
  <si>
    <t>Apex</t>
    <phoneticPr fontId="12" type="noConversion"/>
  </si>
  <si>
    <t>SAM</t>
    <phoneticPr fontId="12" type="noConversion"/>
  </si>
  <si>
    <t>AWS Certified SA</t>
    <phoneticPr fontId="12" type="noConversion"/>
  </si>
  <si>
    <t>Fork</t>
    <phoneticPr fontId="12" type="noConversion"/>
  </si>
  <si>
    <t>Amazon AWS</t>
    <phoneticPr fontId="12" type="noConversion"/>
  </si>
  <si>
    <t>kafka-python</t>
    <phoneticPr fontId="12" type="noConversion"/>
  </si>
  <si>
    <t>Working with Python</t>
    <phoneticPr fontId="12" type="noConversion"/>
  </si>
  <si>
    <t>Boto3</t>
    <phoneticPr fontId="12" type="noConversion"/>
  </si>
  <si>
    <t>InvocationHandler</t>
    <phoneticPr fontId="12" type="noConversion"/>
  </si>
  <si>
    <t>Proxy</t>
    <phoneticPr fontId="12" type="noConversion"/>
  </si>
  <si>
    <t>Externalizable</t>
    <phoneticPr fontId="12" type="noConversion"/>
  </si>
  <si>
    <t>quantile</t>
    <phoneticPr fontId="12" type="noConversion"/>
  </si>
  <si>
    <t>分位点</t>
    <phoneticPr fontId="12" type="noConversion"/>
  </si>
  <si>
    <t>NIO.2</t>
    <phoneticPr fontId="12" type="noConversion"/>
  </si>
  <si>
    <t>Charset</t>
    <phoneticPr fontId="12" type="noConversion"/>
  </si>
  <si>
    <t>SelectableChannel</t>
    <phoneticPr fontId="12" type="noConversion"/>
  </si>
  <si>
    <t>Channel</t>
    <phoneticPr fontId="12" type="noConversion"/>
  </si>
  <si>
    <t>Weekly</t>
    <phoneticPr fontId="12" type="noConversion"/>
  </si>
  <si>
    <t>AQS</t>
    <phoneticPr fontId="12" type="noConversion"/>
  </si>
  <si>
    <t>Apache Ambari</t>
    <phoneticPr fontId="12" type="noConversion"/>
  </si>
  <si>
    <t>Kotlin</t>
    <phoneticPr fontId="12" type="noConversion"/>
  </si>
  <si>
    <t>Distributed Transaction</t>
    <phoneticPr fontId="12" type="noConversion"/>
  </si>
  <si>
    <t>Base</t>
    <phoneticPr fontId="12" type="noConversion"/>
  </si>
  <si>
    <t>CAP</t>
    <phoneticPr fontId="12" type="noConversion"/>
  </si>
  <si>
    <t>2PC</t>
    <phoneticPr fontId="12" type="noConversion"/>
  </si>
  <si>
    <t>Saga</t>
    <phoneticPr fontId="12" type="noConversion"/>
  </si>
  <si>
    <t>Seata</t>
    <phoneticPr fontId="12" type="noConversion"/>
  </si>
  <si>
    <t>XA</t>
    <phoneticPr fontId="12" type="noConversion"/>
  </si>
  <si>
    <t>JTA</t>
    <phoneticPr fontId="12" type="noConversion"/>
  </si>
  <si>
    <t>Atomikos</t>
    <phoneticPr fontId="12" type="noConversion"/>
  </si>
  <si>
    <t>TCC</t>
    <phoneticPr fontId="12" type="noConversion"/>
  </si>
  <si>
    <t>ByteTCC</t>
    <phoneticPr fontId="12" type="noConversion"/>
  </si>
  <si>
    <t>Distributed Locking</t>
    <phoneticPr fontId="12" type="noConversion"/>
  </si>
  <si>
    <t>Master-Replica Architecture</t>
    <phoneticPr fontId="12" type="noConversion"/>
  </si>
  <si>
    <t>Redis Cluster</t>
    <phoneticPr fontId="12" type="noConversion"/>
  </si>
  <si>
    <t>RocketMQ</t>
    <phoneticPr fontId="12" type="noConversion"/>
  </si>
  <si>
    <t>Angular</t>
    <phoneticPr fontId="12" type="noConversion"/>
  </si>
  <si>
    <t>React</t>
    <phoneticPr fontId="12" type="noConversion"/>
  </si>
  <si>
    <t>Vue</t>
    <phoneticPr fontId="12" type="noConversion"/>
  </si>
  <si>
    <t>Transaction Properties</t>
    <phoneticPr fontId="12" type="noConversion"/>
  </si>
  <si>
    <t>Category</t>
    <phoneticPr fontId="12" type="noConversion"/>
  </si>
  <si>
    <t>Gradle</t>
    <phoneticPr fontId="12" type="noConversion"/>
  </si>
  <si>
    <t>JavaScript</t>
    <phoneticPr fontId="12" type="noConversion"/>
  </si>
  <si>
    <t>动态规划</t>
    <phoneticPr fontId="12" type="noConversion"/>
  </si>
  <si>
    <t>Step Rate</t>
    <phoneticPr fontId="4" type="noConversion"/>
  </si>
  <si>
    <t>Distributed Caching</t>
    <phoneticPr fontId="12" type="noConversion"/>
  </si>
  <si>
    <t>Search Engine</t>
    <phoneticPr fontId="12" type="noConversion"/>
  </si>
  <si>
    <t>Single-Thread Model</t>
    <phoneticPr fontId="12" type="noConversion"/>
  </si>
  <si>
    <t>Typescript</t>
    <phoneticPr fontId="12" type="noConversion"/>
  </si>
  <si>
    <t>Redux</t>
    <phoneticPr fontId="12" type="noConversion"/>
  </si>
  <si>
    <t>JSX</t>
    <phoneticPr fontId="12" type="noConversion"/>
  </si>
  <si>
    <t>webpack</t>
    <phoneticPr fontId="12" type="noConversion"/>
  </si>
  <si>
    <t>npm</t>
    <phoneticPr fontId="12" type="noConversion"/>
  </si>
  <si>
    <t>yarn</t>
    <phoneticPr fontId="12" type="noConversion"/>
  </si>
  <si>
    <t>Bootstrap</t>
    <phoneticPr fontId="12" type="noConversion"/>
  </si>
  <si>
    <t>React Native</t>
    <phoneticPr fontId="12" type="noConversion"/>
  </si>
  <si>
    <t>NativeScript</t>
    <phoneticPr fontId="12" type="noConversion"/>
  </si>
  <si>
    <t>Node.js</t>
    <phoneticPr fontId="12" type="noConversion"/>
  </si>
  <si>
    <t>express</t>
    <phoneticPr fontId="12" type="noConversion"/>
  </si>
  <si>
    <t>Karma</t>
    <phoneticPr fontId="12" type="noConversion"/>
  </si>
  <si>
    <t>Jasmine</t>
    <phoneticPr fontId="12" type="noConversion"/>
  </si>
  <si>
    <t>Protractor</t>
    <phoneticPr fontId="12" type="noConversion"/>
  </si>
  <si>
    <t>Macha</t>
    <phoneticPr fontId="12" type="noConversion"/>
  </si>
  <si>
    <t>Cucumber</t>
    <phoneticPr fontId="12" type="noConversion"/>
  </si>
  <si>
    <t>Progressive Web Apps</t>
    <phoneticPr fontId="12" type="noConversion"/>
  </si>
  <si>
    <t>Flume</t>
    <phoneticPr fontId="12" type="noConversion"/>
  </si>
  <si>
    <t>TestNG</t>
    <phoneticPr fontId="12" type="noConversion"/>
  </si>
  <si>
    <t>Jetty</t>
    <phoneticPr fontId="12" type="noConversion"/>
  </si>
  <si>
    <t>Oracle Database</t>
    <phoneticPr fontId="12" type="noConversion"/>
  </si>
  <si>
    <t>MongoDB</t>
    <phoneticPr fontId="12" type="noConversion"/>
  </si>
  <si>
    <t>AJAX</t>
    <phoneticPr fontId="12" type="noConversion"/>
  </si>
  <si>
    <t>XML</t>
    <phoneticPr fontId="12" type="noConversion"/>
  </si>
  <si>
    <t>Web Browers</t>
    <phoneticPr fontId="12" type="noConversion"/>
  </si>
  <si>
    <t>Event Mechanism</t>
    <phoneticPr fontId="12" type="noConversion"/>
  </si>
  <si>
    <t>冒泡</t>
    <phoneticPr fontId="12" type="noConversion"/>
  </si>
  <si>
    <t>捕获</t>
    <phoneticPr fontId="12" type="noConversion"/>
  </si>
  <si>
    <t>MVC</t>
    <phoneticPr fontId="12" type="noConversion"/>
  </si>
  <si>
    <t>PHP</t>
    <phoneticPr fontId="12" type="noConversion"/>
  </si>
  <si>
    <t>SVN</t>
    <phoneticPr fontId="12" type="noConversion"/>
  </si>
  <si>
    <t>Redisson</t>
    <phoneticPr fontId="12" type="noConversion"/>
  </si>
  <si>
    <t>RDB</t>
    <phoneticPr fontId="12" type="noConversion"/>
  </si>
  <si>
    <t>AOF</t>
    <phoneticPr fontId="12" type="noConversion"/>
  </si>
  <si>
    <t>Garbage Collection</t>
    <phoneticPr fontId="12" type="noConversion"/>
  </si>
  <si>
    <t>High Concurrency</t>
    <phoneticPr fontId="12" type="noConversion"/>
  </si>
  <si>
    <t>Erlang</t>
    <phoneticPr fontId="12" type="noConversion"/>
  </si>
  <si>
    <t>Cassettes</t>
    <phoneticPr fontId="4" type="noConversion"/>
  </si>
  <si>
    <t>Drools</t>
    <phoneticPr fontId="12" type="noConversion"/>
  </si>
  <si>
    <t>BRMS</t>
    <phoneticPr fontId="12" type="noConversion"/>
  </si>
  <si>
    <t>Apache Roller</t>
    <phoneticPr fontId="12" type="noConversion"/>
  </si>
  <si>
    <t>Waterloo TCP</t>
    <phoneticPr fontId="12" type="noConversion"/>
  </si>
  <si>
    <t>RouterSim</t>
    <phoneticPr fontId="12" type="noConversion"/>
  </si>
  <si>
    <t>Tapestry</t>
    <phoneticPr fontId="12" type="noConversion"/>
  </si>
  <si>
    <t>Postfix</t>
    <phoneticPr fontId="12" type="noConversion"/>
  </si>
  <si>
    <t>Filtering</t>
    <phoneticPr fontId="12" type="noConversion"/>
  </si>
  <si>
    <t>H5</t>
    <phoneticPr fontId="12" type="noConversion"/>
  </si>
  <si>
    <t>HTML</t>
    <phoneticPr fontId="12" type="noConversion"/>
  </si>
  <si>
    <t>CSS</t>
    <phoneticPr fontId="12" type="noConversion"/>
  </si>
  <si>
    <t>BOM</t>
    <phoneticPr fontId="12" type="noConversion"/>
  </si>
  <si>
    <t>DOM</t>
    <phoneticPr fontId="12" type="noConversion"/>
  </si>
  <si>
    <t>VS Code</t>
    <phoneticPr fontId="12" type="noConversion"/>
  </si>
  <si>
    <t>Live Server</t>
    <phoneticPr fontId="12" type="noConversion"/>
  </si>
  <si>
    <t>Amazon ECS</t>
    <phoneticPr fontId="12" type="noConversion"/>
  </si>
  <si>
    <t>PDE</t>
    <phoneticPr fontId="12" type="noConversion"/>
  </si>
  <si>
    <t>Partial Differential Equation</t>
    <phoneticPr fontId="12" type="noConversion"/>
  </si>
  <si>
    <t>偏微分方程</t>
    <phoneticPr fontId="12" type="noConversion"/>
  </si>
  <si>
    <t>.NET Core</t>
    <phoneticPr fontId="12" type="noConversion"/>
  </si>
  <si>
    <t>Tencet TKE</t>
    <phoneticPr fontId="12" type="noConversion"/>
  </si>
  <si>
    <t>JavaScript Framework</t>
    <phoneticPr fontId="12" type="noConversion"/>
  </si>
  <si>
    <t>devtools</t>
    <phoneticPr fontId="12" type="noConversion"/>
  </si>
  <si>
    <t>C#</t>
    <phoneticPr fontId="12" type="noConversion"/>
  </si>
  <si>
    <t>理想国译丛</t>
    <phoneticPr fontId="12" type="noConversion"/>
  </si>
  <si>
    <t>全球通史</t>
    <phoneticPr fontId="12" type="noConversion"/>
  </si>
  <si>
    <t>理想国·司马辽太郎作品</t>
    <phoneticPr fontId="12" type="noConversion"/>
  </si>
  <si>
    <t>罗马史</t>
    <phoneticPr fontId="12" type="noConversion"/>
  </si>
  <si>
    <t>理想国·军事经典文库</t>
    <phoneticPr fontId="12" type="noConversion"/>
  </si>
  <si>
    <t>multiple regression</t>
    <phoneticPr fontId="12" type="noConversion"/>
  </si>
  <si>
    <t>多元回归</t>
    <phoneticPr fontId="12" type="noConversion"/>
  </si>
  <si>
    <t>husky</t>
    <phoneticPr fontId="12" type="noConversion"/>
  </si>
  <si>
    <t>国学基本教材</t>
    <phoneticPr fontId="12" type="noConversion"/>
  </si>
  <si>
    <t>Cascades</t>
    <phoneticPr fontId="4" type="noConversion"/>
  </si>
  <si>
    <t>BigData书单</t>
    <phoneticPr fontId="12" type="noConversion"/>
  </si>
  <si>
    <t>中国文学鉴赏辞典大系（新一版）</t>
    <phoneticPr fontId="12" type="noConversion"/>
  </si>
  <si>
    <t>新编剑桥世界近代史</t>
    <phoneticPr fontId="12" type="noConversion"/>
  </si>
  <si>
    <t>鲁迅自编文集</t>
    <phoneticPr fontId="12" type="noConversion"/>
  </si>
  <si>
    <t>Message Queue</t>
    <phoneticPr fontId="12" type="noConversion"/>
  </si>
  <si>
    <t>B_哲学、宗教</t>
    <phoneticPr fontId="12" type="noConversion"/>
  </si>
  <si>
    <t>C_社会科学</t>
    <phoneticPr fontId="12" type="noConversion"/>
  </si>
  <si>
    <t>D_政治、法律</t>
    <phoneticPr fontId="12" type="noConversion"/>
  </si>
  <si>
    <t>A_马克思主义、列宁主义、毛泽东思想、邓小平理论</t>
    <phoneticPr fontId="12" type="noConversion"/>
  </si>
  <si>
    <t>E_军事</t>
    <phoneticPr fontId="12" type="noConversion"/>
  </si>
  <si>
    <t>F_经济</t>
    <phoneticPr fontId="12" type="noConversion"/>
  </si>
  <si>
    <t>G_文化、科学、教育、体育</t>
    <phoneticPr fontId="12" type="noConversion"/>
  </si>
  <si>
    <t>H_语言、文学</t>
    <phoneticPr fontId="12" type="noConversion"/>
  </si>
  <si>
    <t>J_艺术</t>
    <phoneticPr fontId="12" type="noConversion"/>
  </si>
  <si>
    <t>K_历史、地理</t>
    <phoneticPr fontId="12" type="noConversion"/>
  </si>
  <si>
    <t>N_自然科学总论</t>
    <phoneticPr fontId="12" type="noConversion"/>
  </si>
  <si>
    <t>O_数理科学和化学</t>
    <phoneticPr fontId="12" type="noConversion"/>
  </si>
  <si>
    <t>P_天文学,地球科学</t>
    <phoneticPr fontId="12" type="noConversion"/>
  </si>
  <si>
    <t>Q_生物科学</t>
    <phoneticPr fontId="12" type="noConversion"/>
  </si>
  <si>
    <t>R_医药,卫生</t>
    <phoneticPr fontId="12" type="noConversion"/>
  </si>
  <si>
    <t>S_农业科学</t>
    <phoneticPr fontId="12" type="noConversion"/>
  </si>
  <si>
    <t>T_工业技术</t>
    <phoneticPr fontId="12" type="noConversion"/>
  </si>
  <si>
    <t>U_交通运输</t>
    <phoneticPr fontId="12" type="noConversion"/>
  </si>
  <si>
    <t>V_航空、航天</t>
    <phoneticPr fontId="12" type="noConversion"/>
  </si>
  <si>
    <t>X_环境科学、安全科学</t>
    <phoneticPr fontId="12" type="noConversion"/>
  </si>
  <si>
    <t>Z_综合性图书</t>
    <phoneticPr fontId="12" type="noConversion"/>
  </si>
  <si>
    <t>I_文学</t>
    <phoneticPr fontId="12" type="noConversion"/>
  </si>
  <si>
    <t>SOA</t>
    <phoneticPr fontId="12" type="noConversion"/>
  </si>
  <si>
    <t>SQL Server</t>
    <phoneticPr fontId="12" type="noConversion"/>
  </si>
  <si>
    <t>DB2</t>
    <phoneticPr fontId="12" type="noConversion"/>
  </si>
  <si>
    <t>WebSphere</t>
    <phoneticPr fontId="12" type="noConversion"/>
  </si>
  <si>
    <t>JMS</t>
    <phoneticPr fontId="12" type="noConversion"/>
  </si>
  <si>
    <t>RMI</t>
    <phoneticPr fontId="12" type="noConversion"/>
  </si>
  <si>
    <t>ORM</t>
    <phoneticPr fontId="12" type="noConversion"/>
  </si>
  <si>
    <t>Java Memory Model</t>
    <phoneticPr fontId="12" type="noConversion"/>
  </si>
  <si>
    <t>Connection Pooling</t>
    <phoneticPr fontId="12" type="noConversion"/>
  </si>
  <si>
    <t>李德·哈特世界战争集粹</t>
    <phoneticPr fontId="12" type="noConversion"/>
  </si>
  <si>
    <t>金庸作品集（朗声旧版）</t>
    <phoneticPr fontId="12" type="noConversion"/>
  </si>
  <si>
    <t>RPC Framework</t>
    <phoneticPr fontId="12" type="noConversion"/>
  </si>
  <si>
    <t>Database</t>
    <phoneticPr fontId="12" type="noConversion"/>
  </si>
  <si>
    <t>Big Data</t>
    <phoneticPr fontId="12" type="noConversion"/>
  </si>
  <si>
    <t>Mina</t>
    <phoneticPr fontId="12" type="noConversion"/>
  </si>
  <si>
    <t>Apache Storm</t>
    <phoneticPr fontId="12" type="noConversion"/>
  </si>
  <si>
    <t>TDD</t>
    <phoneticPr fontId="12" type="noConversion"/>
  </si>
  <si>
    <t>UML</t>
    <phoneticPr fontId="12" type="noConversion"/>
  </si>
  <si>
    <t>ESB</t>
    <phoneticPr fontId="12" type="noConversion"/>
  </si>
  <si>
    <t>Load Balancing</t>
    <phoneticPr fontId="12" type="noConversion"/>
  </si>
  <si>
    <t>PivotTable</t>
    <phoneticPr fontId="12" type="noConversion"/>
  </si>
  <si>
    <t>R</t>
    <phoneticPr fontId="12" type="noConversion"/>
  </si>
  <si>
    <t>CIAM</t>
    <phoneticPr fontId="12" type="noConversion"/>
  </si>
  <si>
    <t>Message Queue</t>
    <phoneticPr fontId="12" type="noConversion"/>
  </si>
  <si>
    <t>AMQP</t>
    <phoneticPr fontId="12" type="noConversion"/>
  </si>
  <si>
    <t>axios</t>
    <phoneticPr fontId="12" type="noConversion"/>
  </si>
  <si>
    <t>Typora</t>
    <phoneticPr fontId="12" type="noConversion"/>
  </si>
  <si>
    <t>WAF</t>
    <phoneticPr fontId="12" type="noConversion"/>
  </si>
  <si>
    <t>新药的故事2</t>
    <phoneticPr fontId="12" type="noConversion"/>
  </si>
  <si>
    <t>OpenSSL</t>
    <phoneticPr fontId="12" type="noConversion"/>
  </si>
  <si>
    <t>gists</t>
    <phoneticPr fontId="12" type="noConversion"/>
  </si>
  <si>
    <t>YAML</t>
    <phoneticPr fontId="12" type="noConversion"/>
  </si>
  <si>
    <t>CodeQL</t>
    <phoneticPr fontId="12" type="noConversion"/>
  </si>
  <si>
    <t>CDP</t>
    <phoneticPr fontId="12" type="noConversion"/>
  </si>
  <si>
    <t>Account Management</t>
    <phoneticPr fontId="12" type="noConversion"/>
  </si>
  <si>
    <t>Terraform</t>
    <phoneticPr fontId="12" type="noConversion"/>
  </si>
  <si>
    <t>Ansible</t>
    <phoneticPr fontId="12" type="noConversion"/>
  </si>
  <si>
    <t>SASL</t>
    <phoneticPr fontId="12" type="noConversion"/>
  </si>
  <si>
    <t>Authentication API</t>
    <phoneticPr fontId="12" type="noConversion"/>
  </si>
  <si>
    <t>Java Securites</t>
    <phoneticPr fontId="12" type="noConversion"/>
  </si>
  <si>
    <t>JAAS</t>
    <phoneticPr fontId="12" type="noConversion"/>
  </si>
  <si>
    <t>Security Protocol</t>
    <phoneticPr fontId="12" type="noConversion"/>
  </si>
  <si>
    <t>Messaging Protocol</t>
    <phoneticPr fontId="12" type="noConversion"/>
  </si>
  <si>
    <t>nslookup</t>
    <phoneticPr fontId="12" type="noConversion"/>
  </si>
  <si>
    <t>半小时漫画党史</t>
    <phoneticPr fontId="12" type="noConversion"/>
  </si>
  <si>
    <t>Power BI</t>
    <phoneticPr fontId="12" type="noConversion"/>
  </si>
  <si>
    <t>会员畅听</t>
    <phoneticPr fontId="12" type="noConversion"/>
  </si>
  <si>
    <t>diff</t>
    <phoneticPr fontId="12" type="noConversion"/>
  </si>
  <si>
    <t>TMP</t>
    <phoneticPr fontId="12" type="noConversion"/>
  </si>
  <si>
    <t>CNAME</t>
    <phoneticPr fontId="12" type="noConversion"/>
  </si>
  <si>
    <t>kubeconfig</t>
    <phoneticPr fontId="12" type="noConversion"/>
  </si>
  <si>
    <t>Kugoo</t>
    <phoneticPr fontId="4" type="noConversion"/>
  </si>
  <si>
    <t>ELK</t>
    <phoneticPr fontId="12" type="noConversion"/>
  </si>
  <si>
    <t>友人书单</t>
    <phoneticPr fontId="12" type="noConversion"/>
  </si>
  <si>
    <t>丛书</t>
    <phoneticPr fontId="12" type="noConversion"/>
  </si>
  <si>
    <t>CER</t>
    <phoneticPr fontId="12" type="noConversion"/>
  </si>
  <si>
    <t>Constant Exchange Rates</t>
    <phoneticPr fontId="12" type="noConversion"/>
  </si>
  <si>
    <t>恒定汇率</t>
    <phoneticPr fontId="12" type="noConversion"/>
  </si>
  <si>
    <t>书单链接</t>
    <phoneticPr fontId="12" type="noConversion"/>
  </si>
  <si>
    <t>网页防篡改</t>
    <phoneticPr fontId="12" type="noConversion"/>
  </si>
  <si>
    <t>Pic &amp; DV</t>
    <phoneticPr fontId="4" type="noConversion"/>
  </si>
  <si>
    <t>Android</t>
    <phoneticPr fontId="12" type="noConversion"/>
  </si>
  <si>
    <t>Go</t>
    <phoneticPr fontId="12" type="noConversion"/>
  </si>
  <si>
    <t>Markdown</t>
    <phoneticPr fontId="12" type="noConversion"/>
  </si>
  <si>
    <t>Containerization</t>
    <phoneticPr fontId="12" type="noConversion"/>
  </si>
  <si>
    <t>Visualization</t>
    <phoneticPr fontId="12" type="noConversion"/>
  </si>
  <si>
    <t>Template</t>
    <phoneticPr fontId="12" type="noConversion"/>
  </si>
  <si>
    <t>Lua</t>
    <phoneticPr fontId="12" type="noConversion"/>
  </si>
  <si>
    <t>kernel</t>
    <phoneticPr fontId="12" type="noConversion"/>
  </si>
  <si>
    <t>DevOps</t>
    <phoneticPr fontId="12" type="noConversion"/>
  </si>
  <si>
    <t>chroot</t>
    <phoneticPr fontId="12" type="noConversion"/>
  </si>
  <si>
    <t>ss</t>
    <phoneticPr fontId="12" type="noConversion"/>
  </si>
  <si>
    <t>Security</t>
    <phoneticPr fontId="12" type="noConversion"/>
  </si>
  <si>
    <t>Java</t>
    <phoneticPr fontId="12" type="noConversion"/>
  </si>
  <si>
    <t>keytool</t>
    <phoneticPr fontId="12" type="noConversion"/>
  </si>
  <si>
    <t>binlog</t>
    <phoneticPr fontId="12" type="noConversion"/>
  </si>
  <si>
    <t>SASL Authentication</t>
    <phoneticPr fontId="12" type="noConversion"/>
  </si>
  <si>
    <t>Tengine</t>
    <phoneticPr fontId="12" type="noConversion"/>
  </si>
  <si>
    <t>JMeter</t>
    <phoneticPr fontId="12" type="noConversion"/>
  </si>
  <si>
    <t>购书单-1</t>
    <phoneticPr fontId="12" type="noConversion"/>
  </si>
  <si>
    <t>想读列表-1</t>
    <phoneticPr fontId="12" type="noConversion"/>
  </si>
  <si>
    <t>购书加加减减</t>
    <phoneticPr fontId="12" type="noConversion"/>
  </si>
  <si>
    <t>想读列表+1</t>
    <phoneticPr fontId="12" type="noConversion"/>
  </si>
  <si>
    <t>缺书网"想读"</t>
    <phoneticPr fontId="12" type="noConversion"/>
  </si>
  <si>
    <t>uname</t>
    <phoneticPr fontId="12" type="noConversion"/>
  </si>
  <si>
    <t>cat</t>
    <phoneticPr fontId="12" type="noConversion"/>
  </si>
  <si>
    <t>Apache Dubbo</t>
    <phoneticPr fontId="12" type="noConversion"/>
  </si>
  <si>
    <t>makecache</t>
    <phoneticPr fontId="12" type="noConversion"/>
  </si>
  <si>
    <t>systemctl</t>
    <phoneticPr fontId="12" type="noConversion"/>
  </si>
  <si>
    <t>Inverted Index</t>
    <phoneticPr fontId="12" type="noConversion"/>
  </si>
  <si>
    <t>Full-text Search</t>
    <phoneticPr fontId="12" type="noConversion"/>
  </si>
  <si>
    <t>Aggregations</t>
    <phoneticPr fontId="12" type="noConversion"/>
  </si>
  <si>
    <t>Query DSL</t>
    <phoneticPr fontId="12" type="noConversion"/>
  </si>
  <si>
    <t>Nutch</t>
    <phoneticPr fontId="12" type="noConversion"/>
  </si>
  <si>
    <t>jsoup</t>
    <phoneticPr fontId="12" type="noConversion"/>
  </si>
  <si>
    <t>heritrix</t>
    <phoneticPr fontId="12" type="noConversion"/>
  </si>
  <si>
    <t>Web Crawler</t>
    <phoneticPr fontId="12" type="noConversion"/>
  </si>
  <si>
    <t>tee</t>
    <phoneticPr fontId="12" type="noConversion"/>
  </si>
  <si>
    <t xml:space="preserve"> </t>
    <phoneticPr fontId="12" type="noConversion"/>
  </si>
  <si>
    <t>Filebeat</t>
    <phoneticPr fontId="12" type="noConversion"/>
  </si>
  <si>
    <t>SonarQube</t>
    <phoneticPr fontId="12" type="noConversion"/>
  </si>
  <si>
    <t>ZAP</t>
    <phoneticPr fontId="12" type="noConversion"/>
  </si>
  <si>
    <t>Artifactory</t>
    <phoneticPr fontId="12" type="noConversion"/>
  </si>
  <si>
    <t>Artifact Repository Manager</t>
    <phoneticPr fontId="12" type="noConversion"/>
  </si>
  <si>
    <t>Git Actions</t>
    <phoneticPr fontId="12" type="noConversion"/>
  </si>
  <si>
    <t>Kappa Architecture</t>
    <phoneticPr fontId="12" type="noConversion"/>
  </si>
  <si>
    <t>Data Architecture</t>
    <phoneticPr fontId="12" type="noConversion"/>
  </si>
  <si>
    <t>Data Warehouse</t>
    <phoneticPr fontId="12" type="noConversion"/>
  </si>
  <si>
    <t>Data Lake</t>
    <phoneticPr fontId="12" type="noConversion"/>
  </si>
  <si>
    <t>Data Mesh</t>
    <phoneticPr fontId="12" type="noConversion"/>
  </si>
  <si>
    <t>Lambda Architecture</t>
    <phoneticPr fontId="12" type="noConversion"/>
  </si>
  <si>
    <t>Data Fabric</t>
    <phoneticPr fontId="12" type="noConversion"/>
  </si>
  <si>
    <t>Data Lakehouse</t>
    <phoneticPr fontId="12" type="noConversion"/>
  </si>
  <si>
    <t>Task</t>
    <phoneticPr fontId="4" type="noConversion"/>
  </si>
  <si>
    <t>Put to</t>
    <phoneticPr fontId="4" type="noConversion"/>
  </si>
  <si>
    <t>WeChat Pubic Account</t>
    <phoneticPr fontId="12" type="noConversion"/>
  </si>
  <si>
    <t>Download Stashes</t>
    <phoneticPr fontId="4" type="noConversion"/>
  </si>
  <si>
    <t>Email Reading</t>
    <phoneticPr fontId="4" type="noConversion"/>
  </si>
  <si>
    <t>Index for Minor</t>
    <phoneticPr fontId="4" type="noConversion"/>
  </si>
  <si>
    <t>MIB</t>
    <phoneticPr fontId="12" type="noConversion"/>
  </si>
  <si>
    <t>Video Preparation</t>
    <phoneticPr fontId="4" type="noConversion"/>
  </si>
  <si>
    <t>Elasticsearch</t>
    <phoneticPr fontId="12" type="noConversion"/>
  </si>
  <si>
    <t>静默授权</t>
    <phoneticPr fontId="12" type="noConversion"/>
  </si>
  <si>
    <t>Anaconda</t>
    <phoneticPr fontId="12" type="noConversion"/>
  </si>
  <si>
    <t>APP电子书</t>
    <phoneticPr fontId="12" type="noConversion"/>
  </si>
  <si>
    <t>Operating System</t>
    <phoneticPr fontId="12" type="noConversion"/>
  </si>
  <si>
    <t>OS Cache</t>
    <phoneticPr fontId="12" type="noConversion"/>
  </si>
  <si>
    <t>images</t>
    <phoneticPr fontId="12" type="noConversion"/>
  </si>
  <si>
    <t>image layer</t>
    <phoneticPr fontId="12" type="noConversion"/>
  </si>
  <si>
    <t>Union FS</t>
    <phoneticPr fontId="12" type="noConversion"/>
  </si>
  <si>
    <t>置顶: 好书好礼</t>
    <phoneticPr fontId="12" type="noConversion"/>
  </si>
  <si>
    <t>Books Rolling</t>
    <phoneticPr fontId="4" type="noConversion"/>
  </si>
  <si>
    <t>缺书网"已有/删除"</t>
    <phoneticPr fontId="12" type="noConversion"/>
  </si>
  <si>
    <t>确认购书单数目</t>
    <phoneticPr fontId="12" type="noConversion"/>
  </si>
  <si>
    <t>sudo</t>
    <phoneticPr fontId="12" type="noConversion"/>
  </si>
  <si>
    <t>东线1941-1945</t>
    <phoneticPr fontId="12" type="noConversion"/>
  </si>
  <si>
    <t>submodule</t>
    <phoneticPr fontId="12" type="noConversion"/>
  </si>
  <si>
    <t>inputs</t>
    <phoneticPr fontId="12" type="noConversion"/>
  </si>
  <si>
    <t>豆瓣阅读</t>
    <phoneticPr fontId="12" type="noConversion"/>
  </si>
  <si>
    <t>多看</t>
    <phoneticPr fontId="12" type="noConversion"/>
  </si>
  <si>
    <t>旧制度与大革命</t>
    <phoneticPr fontId="12" type="noConversion"/>
  </si>
  <si>
    <t>丰臣家族</t>
    <phoneticPr fontId="12" type="noConversion"/>
  </si>
  <si>
    <t>城塞(上)</t>
    <phoneticPr fontId="12" type="noConversion"/>
  </si>
  <si>
    <t>城塞(中)</t>
    <phoneticPr fontId="12" type="noConversion"/>
  </si>
  <si>
    <t>城塞(下)</t>
    <phoneticPr fontId="12" type="noConversion"/>
  </si>
  <si>
    <t>生命简史</t>
    <phoneticPr fontId="12" type="noConversion"/>
  </si>
  <si>
    <t>硅谷钢铁侠</t>
    <phoneticPr fontId="12" type="noConversion"/>
  </si>
  <si>
    <t>樊登读书</t>
    <phoneticPr fontId="12" type="noConversion"/>
  </si>
  <si>
    <t>京东读书</t>
    <phoneticPr fontId="12" type="noConversion"/>
  </si>
  <si>
    <t>gcc</t>
    <phoneticPr fontId="12" type="noConversion"/>
  </si>
  <si>
    <t>微信读书</t>
    <phoneticPr fontId="12" type="noConversion"/>
  </si>
  <si>
    <t>格拉德威尔经典系列</t>
    <phoneticPr fontId="12" type="noConversion"/>
  </si>
  <si>
    <t>译文名著精选</t>
    <phoneticPr fontId="12" type="noConversion"/>
  </si>
  <si>
    <t>费城风云</t>
    <phoneticPr fontId="12" type="noConversion"/>
  </si>
  <si>
    <t>算法帝国</t>
    <phoneticPr fontId="12" type="noConversion"/>
  </si>
  <si>
    <t>非普通读者</t>
    <phoneticPr fontId="12" type="noConversion"/>
  </si>
  <si>
    <t>程序员的数学</t>
    <phoneticPr fontId="12" type="noConversion"/>
  </si>
  <si>
    <t>Schedule Major</t>
    <phoneticPr fontId="4" type="noConversion"/>
  </si>
  <si>
    <t>Schedule Minor</t>
    <phoneticPr fontId="4" type="noConversion"/>
  </si>
  <si>
    <t>CS:APP</t>
    <phoneticPr fontId="4" type="noConversion"/>
  </si>
  <si>
    <t>Accounting</t>
    <phoneticPr fontId="4" type="noConversion"/>
  </si>
  <si>
    <t>Songs Preparation</t>
    <phoneticPr fontId="4" type="noConversion"/>
  </si>
  <si>
    <t>Stock Profit Counter</t>
    <phoneticPr fontId="4" type="noConversion"/>
  </si>
  <si>
    <t>Daily Reading</t>
    <phoneticPr fontId="4" type="noConversion"/>
  </si>
  <si>
    <t>Purchase</t>
    <phoneticPr fontId="4" type="noConversion"/>
  </si>
  <si>
    <t>Monthly Accounting</t>
    <phoneticPr fontId="4" type="noConversion"/>
  </si>
  <si>
    <t>Daily Courses</t>
    <phoneticPr fontId="4" type="noConversion"/>
  </si>
  <si>
    <t>置顶: 先睹为快</t>
    <phoneticPr fontId="12" type="noConversion"/>
  </si>
  <si>
    <t>Songsroller</t>
    <phoneticPr fontId="4" type="noConversion"/>
  </si>
  <si>
    <t>On Liberty</t>
    <phoneticPr fontId="12" type="noConversion"/>
  </si>
  <si>
    <t>强权与铁腕</t>
    <phoneticPr fontId="12" type="noConversion"/>
  </si>
  <si>
    <t>Container</t>
    <phoneticPr fontId="12" type="noConversion"/>
  </si>
  <si>
    <t>Context</t>
    <phoneticPr fontId="12" type="noConversion"/>
  </si>
  <si>
    <t>企鹅经典（精装版）</t>
    <phoneticPr fontId="12" type="noConversion"/>
  </si>
  <si>
    <t>知乎</t>
    <phoneticPr fontId="12" type="noConversion"/>
  </si>
  <si>
    <t>译文经典（精装本）</t>
    <phoneticPr fontId="12" type="noConversion"/>
  </si>
  <si>
    <t>xargs</t>
    <phoneticPr fontId="12" type="noConversion"/>
  </si>
  <si>
    <t>人间词话</t>
    <phoneticPr fontId="12" type="noConversion"/>
  </si>
  <si>
    <t>Sales &amp; Marketing</t>
    <phoneticPr fontId="12" type="noConversion"/>
  </si>
  <si>
    <t>MQT</t>
    <phoneticPr fontId="12" type="noConversion"/>
  </si>
  <si>
    <t>Moving Quarter Total</t>
    <phoneticPr fontId="12" type="noConversion"/>
  </si>
  <si>
    <t>移动季度(销售额)总计</t>
    <phoneticPr fontId="12" type="noConversion"/>
  </si>
  <si>
    <t>Finance</t>
    <phoneticPr fontId="12" type="noConversion"/>
  </si>
  <si>
    <t>EI</t>
    <phoneticPr fontId="12" type="noConversion"/>
  </si>
  <si>
    <t>Evaluation Index</t>
    <phoneticPr fontId="12" type="noConversion"/>
  </si>
  <si>
    <t>增长指数</t>
    <phoneticPr fontId="12" type="noConversion"/>
  </si>
  <si>
    <t>Load Balance</t>
    <phoneticPr fontId="12" type="noConversion"/>
  </si>
  <si>
    <t>Round Robin</t>
    <phoneticPr fontId="12" type="noConversion"/>
  </si>
  <si>
    <t>经典印象·小说名作坊</t>
    <phoneticPr fontId="12" type="noConversion"/>
  </si>
  <si>
    <t>迦陵说诗</t>
    <phoneticPr fontId="12" type="noConversion"/>
  </si>
  <si>
    <t>一力文库（双语）</t>
    <phoneticPr fontId="12" type="noConversion"/>
  </si>
  <si>
    <t>BBC“奇迹”系列</t>
    <phoneticPr fontId="12" type="noConversion"/>
  </si>
  <si>
    <t>从地球出发，到宇宙尽头</t>
    <phoneticPr fontId="12" type="noConversion"/>
  </si>
  <si>
    <t>理论物理学教程</t>
    <phoneticPr fontId="12" type="noConversion"/>
  </si>
  <si>
    <t>DK系列图书</t>
    <phoneticPr fontId="12" type="noConversion"/>
  </si>
  <si>
    <t>知中ZHICHINA</t>
    <phoneticPr fontId="12" type="noConversion"/>
  </si>
  <si>
    <t>Purchase Quota</t>
    <phoneticPr fontId="12" type="noConversion"/>
  </si>
  <si>
    <t>进阶武器库</t>
    <phoneticPr fontId="12" type="noConversion"/>
  </si>
  <si>
    <t>动物王朝</t>
    <phoneticPr fontId="12" type="noConversion"/>
  </si>
  <si>
    <t>曾国藩传</t>
    <phoneticPr fontId="12" type="noConversion"/>
  </si>
  <si>
    <t>一日重生</t>
    <phoneticPr fontId="12" type="noConversion"/>
  </si>
  <si>
    <t>《三体》中的物理学</t>
    <phoneticPr fontId="12" type="noConversion"/>
  </si>
  <si>
    <t>top</t>
    <phoneticPr fontId="12" type="noConversion"/>
  </si>
  <si>
    <t>To Be Enhanced Movie</t>
    <phoneticPr fontId="4" type="noConversion"/>
  </si>
  <si>
    <t>Index File</t>
    <phoneticPr fontId="12" type="noConversion"/>
  </si>
  <si>
    <t>Extra</t>
    <phoneticPr fontId="4" type="noConversion"/>
  </si>
  <si>
    <t>buster version</t>
    <phoneticPr fontId="12" type="noConversion"/>
  </si>
  <si>
    <t>alpine version</t>
    <phoneticPr fontId="12" type="noConversion"/>
  </si>
  <si>
    <t>Containerd</t>
    <phoneticPr fontId="12" type="noConversion"/>
  </si>
  <si>
    <t>docker-init</t>
    <phoneticPr fontId="12" type="noConversion"/>
  </si>
  <si>
    <t>罗马人的故事</t>
    <phoneticPr fontId="12" type="noConversion"/>
  </si>
  <si>
    <t>SonarScanner</t>
    <phoneticPr fontId="12" type="noConversion"/>
  </si>
  <si>
    <t>published ports</t>
    <phoneticPr fontId="12" type="noConversion"/>
  </si>
  <si>
    <t>runc</t>
    <phoneticPr fontId="12" type="noConversion"/>
  </si>
  <si>
    <t>Cyber Security</t>
    <phoneticPr fontId="12" type="noConversion"/>
  </si>
  <si>
    <t>Vulnerabilities</t>
    <phoneticPr fontId="12" type="noConversion"/>
  </si>
  <si>
    <t>CVE-2022-22965</t>
    <phoneticPr fontId="12" type="noConversion"/>
  </si>
  <si>
    <t>跟大师学国学</t>
    <phoneticPr fontId="12" type="noConversion"/>
  </si>
  <si>
    <t>Container Runtime</t>
    <phoneticPr fontId="12" type="noConversion"/>
  </si>
  <si>
    <t>cp</t>
    <phoneticPr fontId="12" type="noConversion"/>
  </si>
  <si>
    <t>Kibana</t>
    <phoneticPr fontId="12" type="noConversion"/>
  </si>
  <si>
    <t>Data Visualization</t>
    <phoneticPr fontId="12" type="noConversion"/>
  </si>
  <si>
    <t>Volumes</t>
    <phoneticPr fontId="12" type="noConversion"/>
  </si>
  <si>
    <t>function prototype</t>
    <phoneticPr fontId="12" type="noConversion"/>
  </si>
  <si>
    <t>JOIN</t>
    <phoneticPr fontId="12" type="noConversion"/>
  </si>
  <si>
    <t>Nested Query</t>
    <phoneticPr fontId="12" type="noConversion"/>
  </si>
  <si>
    <t>Parent-Child Tree</t>
    <phoneticPr fontId="12" type="noConversion"/>
  </si>
  <si>
    <t>Docker Hub</t>
    <phoneticPr fontId="12" type="noConversion"/>
  </si>
  <si>
    <t>Metersphere</t>
    <phoneticPr fontId="12" type="noConversion"/>
  </si>
  <si>
    <t>接口定义</t>
    <phoneticPr fontId="12" type="noConversion"/>
  </si>
  <si>
    <t>导入</t>
    <phoneticPr fontId="12" type="noConversion"/>
  </si>
  <si>
    <t>导出</t>
    <phoneticPr fontId="12" type="noConversion"/>
  </si>
  <si>
    <t>文档</t>
    <phoneticPr fontId="12" type="noConversion"/>
  </si>
  <si>
    <t>KQL</t>
    <phoneticPr fontId="12" type="noConversion"/>
  </si>
  <si>
    <t>Large File Storage</t>
    <phoneticPr fontId="12" type="noConversion"/>
  </si>
  <si>
    <t>Scroll API</t>
    <phoneticPr fontId="12" type="noConversion"/>
  </si>
  <si>
    <t>Search Engine</t>
    <phoneticPr fontId="12" type="noConversion"/>
  </si>
  <si>
    <t>汤姆·索亚历险记</t>
    <phoneticPr fontId="12" type="noConversion"/>
  </si>
  <si>
    <t>生命是什么</t>
    <phoneticPr fontId="12" type="noConversion"/>
  </si>
  <si>
    <t>BERT</t>
    <phoneticPr fontId="12" type="noConversion"/>
  </si>
  <si>
    <t>Language Model</t>
    <phoneticPr fontId="12" type="noConversion"/>
  </si>
  <si>
    <t>./</t>
    <phoneticPr fontId="12" type="noConversion"/>
  </si>
  <si>
    <t>magnetic domain</t>
    <phoneticPr fontId="12" type="noConversion"/>
  </si>
  <si>
    <t>磁畴</t>
    <phoneticPr fontId="12" type="noConversion"/>
  </si>
  <si>
    <t>Video - Entertain</t>
    <phoneticPr fontId="4" type="noConversion"/>
  </si>
  <si>
    <t>Video - CutSlim</t>
    <phoneticPr fontId="4" type="noConversion"/>
  </si>
  <si>
    <t>环境变量</t>
    <phoneticPr fontId="12" type="noConversion"/>
  </si>
  <si>
    <t>Network</t>
    <phoneticPr fontId="12" type="noConversion"/>
  </si>
  <si>
    <t>veth-pair</t>
    <phoneticPr fontId="12" type="noConversion"/>
  </si>
  <si>
    <t>Rancher</t>
    <phoneticPr fontId="12" type="noConversion"/>
  </si>
  <si>
    <t>REST API</t>
    <phoneticPr fontId="12" type="noConversion"/>
  </si>
  <si>
    <t>Web Services</t>
    <phoneticPr fontId="12" type="noConversion"/>
  </si>
  <si>
    <t>Parametrization</t>
    <phoneticPr fontId="12" type="noConversion"/>
  </si>
  <si>
    <t>Naming Convention</t>
    <phoneticPr fontId="12" type="noConversion"/>
  </si>
  <si>
    <t>分库分表</t>
    <phoneticPr fontId="12" type="noConversion"/>
  </si>
  <si>
    <t>Dockerfile</t>
    <phoneticPr fontId="12" type="noConversion"/>
  </si>
  <si>
    <t>wget</t>
    <phoneticPr fontId="12" type="noConversion"/>
  </si>
  <si>
    <t>Replication</t>
    <phoneticPr fontId="12" type="noConversion"/>
  </si>
  <si>
    <t>Election</t>
    <phoneticPr fontId="12" type="noConversion"/>
  </si>
  <si>
    <t>Rebalance</t>
    <phoneticPr fontId="12" type="noConversion"/>
  </si>
  <si>
    <t>Writing Throughput</t>
    <phoneticPr fontId="12" type="noConversion"/>
  </si>
  <si>
    <t>相关度评分算法</t>
    <phoneticPr fontId="12" type="noConversion"/>
  </si>
  <si>
    <t>Deep Paging</t>
    <phoneticPr fontId="12" type="noConversion"/>
  </si>
  <si>
    <t>Massive Data Processing</t>
    <phoneticPr fontId="12" type="noConversion"/>
  </si>
  <si>
    <t>搜索效果优化</t>
    <phoneticPr fontId="12" type="noConversion"/>
  </si>
  <si>
    <t>Token Authentication</t>
    <phoneticPr fontId="12" type="noConversion"/>
  </si>
  <si>
    <t>HTTP 499</t>
    <phoneticPr fontId="12" type="noConversion"/>
  </si>
  <si>
    <t>Boot FS</t>
    <phoneticPr fontId="12" type="noConversion"/>
  </si>
  <si>
    <t>Root FS</t>
    <phoneticPr fontId="12" type="noConversion"/>
  </si>
  <si>
    <t>Container Startup</t>
    <phoneticPr fontId="12" type="noConversion"/>
  </si>
  <si>
    <t>Book scanner (12.5K)</t>
    <phoneticPr fontId="4" type="noConversion"/>
  </si>
  <si>
    <t>新药涉及药物整理</t>
    <phoneticPr fontId="4" type="noConversion"/>
  </si>
  <si>
    <t>Firefox Bookmarks</t>
    <phoneticPr fontId="4" type="noConversion"/>
  </si>
  <si>
    <t>Former Companies Arrangement</t>
    <phoneticPr fontId="4" type="noConversion"/>
  </si>
  <si>
    <t>Duan She Li</t>
    <phoneticPr fontId="4" type="noConversion"/>
  </si>
  <si>
    <t>Pillow Books</t>
    <phoneticPr fontId="4" type="noConversion"/>
  </si>
  <si>
    <t>Games</t>
    <phoneticPr fontId="4" type="noConversion"/>
  </si>
  <si>
    <t>手机容量清理</t>
    <phoneticPr fontId="4" type="noConversion"/>
  </si>
  <si>
    <t>游戏整理</t>
    <phoneticPr fontId="4" type="noConversion"/>
  </si>
  <si>
    <t>B站待学习视频下载</t>
  </si>
  <si>
    <t>security</t>
    <phoneticPr fontId="12" type="noConversion"/>
  </si>
  <si>
    <t>selinux</t>
    <phoneticPr fontId="12" type="noConversion"/>
  </si>
  <si>
    <t>AppArmor</t>
    <phoneticPr fontId="12" type="noConversion"/>
  </si>
  <si>
    <t>seccomp</t>
    <phoneticPr fontId="12" type="noConversion"/>
  </si>
  <si>
    <t>control groups</t>
    <phoneticPr fontId="12" type="noConversion"/>
  </si>
  <si>
    <t>capabilities</t>
    <phoneticPr fontId="12" type="noConversion"/>
  </si>
  <si>
    <t>pivot_root</t>
    <phoneticPr fontId="12" type="noConversion"/>
  </si>
  <si>
    <t>privilege drop</t>
    <phoneticPr fontId="12" type="noConversion"/>
  </si>
  <si>
    <t>Storage Engine</t>
    <phoneticPr fontId="12" type="noConversion"/>
  </si>
  <si>
    <t>Device Mapper</t>
    <phoneticPr fontId="12" type="noConversion"/>
  </si>
  <si>
    <t>中华经典名著全本全注全译丛书</t>
    <phoneticPr fontId="12" type="noConversion"/>
  </si>
  <si>
    <t>Video - Extra</t>
    <phoneticPr fontId="4" type="noConversion"/>
  </si>
  <si>
    <t>-m32</t>
    <phoneticPr fontId="12" type="noConversion"/>
  </si>
  <si>
    <t>中华经典藏书</t>
    <phoneticPr fontId="12" type="noConversion"/>
  </si>
  <si>
    <t>inspect</t>
    <phoneticPr fontId="12" type="noConversion"/>
  </si>
  <si>
    <t>Race Condition</t>
    <phoneticPr fontId="12" type="noConversion"/>
  </si>
  <si>
    <t>Cache Penetration</t>
    <phoneticPr fontId="12" type="noConversion"/>
  </si>
  <si>
    <t>Cache Avalanche</t>
    <phoneticPr fontId="12" type="noConversion"/>
  </si>
  <si>
    <t>Cache Consistency</t>
    <phoneticPr fontId="12" type="noConversion"/>
  </si>
  <si>
    <t>sed</t>
    <phoneticPr fontId="12" type="noConversion"/>
  </si>
  <si>
    <t>汉唐阳光人文图书</t>
    <phoneticPr fontId="12" type="noConversion"/>
  </si>
  <si>
    <t>Slow-running Queries</t>
    <phoneticPr fontId="12" type="noConversion"/>
  </si>
  <si>
    <t>Blocking Problems</t>
    <phoneticPr fontId="12" type="noConversion"/>
  </si>
  <si>
    <r>
      <rPr>
        <sz val="9"/>
        <color theme="1"/>
        <rFont val="微软雅黑"/>
        <family val="2"/>
        <charset val="134"/>
      </rPr>
      <t>搜索性能</t>
    </r>
    <phoneticPr fontId="12" type="noConversion"/>
  </si>
  <si>
    <r>
      <rPr>
        <sz val="9"/>
        <color theme="1"/>
        <rFont val="微软雅黑"/>
        <family val="2"/>
        <charset val="134"/>
      </rPr>
      <t>聚合性能</t>
    </r>
    <phoneticPr fontId="12" type="noConversion"/>
  </si>
  <si>
    <r>
      <rPr>
        <sz val="9"/>
        <color theme="1"/>
        <rFont val="微软雅黑"/>
        <family val="2"/>
        <charset val="134"/>
      </rPr>
      <t>冷热分离</t>
    </r>
    <phoneticPr fontId="12" type="noConversion"/>
  </si>
  <si>
    <r>
      <rPr>
        <sz val="9"/>
        <color theme="1"/>
        <rFont val="微软雅黑"/>
        <family val="2"/>
        <charset val="134"/>
      </rPr>
      <t>端口</t>
    </r>
    <phoneticPr fontId="12" type="noConversion"/>
  </si>
  <si>
    <r>
      <t>TF/IDF</t>
    </r>
    <r>
      <rPr>
        <sz val="9"/>
        <color theme="1"/>
        <rFont val="宋体"/>
        <family val="3"/>
        <charset val="134"/>
      </rPr>
      <t>算法</t>
    </r>
    <phoneticPr fontId="12" type="noConversion"/>
  </si>
  <si>
    <r>
      <rPr>
        <sz val="9"/>
        <color theme="1"/>
        <rFont val="微软雅黑"/>
        <family val="2"/>
        <charset val="134"/>
      </rPr>
      <t>随机过程</t>
    </r>
    <phoneticPr fontId="12" type="noConversion"/>
  </si>
  <si>
    <r>
      <rPr>
        <sz val="9"/>
        <color theme="1"/>
        <rFont val="微软雅黑"/>
        <family val="2"/>
        <charset val="134"/>
      </rPr>
      <t>马尔可夫链</t>
    </r>
    <phoneticPr fontId="12" type="noConversion"/>
  </si>
  <si>
    <r>
      <rPr>
        <sz val="9"/>
        <color theme="1"/>
        <rFont val="微软雅黑"/>
        <family val="2"/>
        <charset val="134"/>
      </rPr>
      <t>决策树</t>
    </r>
    <phoneticPr fontId="12" type="noConversion"/>
  </si>
  <si>
    <r>
      <rPr>
        <sz val="9"/>
        <color theme="1"/>
        <rFont val="微软雅黑"/>
        <family val="2"/>
        <charset val="134"/>
      </rPr>
      <t>随机森林</t>
    </r>
    <phoneticPr fontId="12" type="noConversion"/>
  </si>
  <si>
    <r>
      <rPr>
        <sz val="9"/>
        <color theme="1"/>
        <rFont val="微软雅黑"/>
        <family val="2"/>
        <charset val="134"/>
      </rPr>
      <t>协同过滤</t>
    </r>
    <phoneticPr fontId="12" type="noConversion"/>
  </si>
  <si>
    <r>
      <rPr>
        <sz val="9"/>
        <color theme="1"/>
        <rFont val="微软雅黑"/>
        <family val="2"/>
        <charset val="134"/>
      </rPr>
      <t>线性回归</t>
    </r>
    <phoneticPr fontId="12" type="noConversion"/>
  </si>
  <si>
    <r>
      <rPr>
        <sz val="9"/>
        <color theme="1"/>
        <rFont val="微软雅黑"/>
        <family val="2"/>
        <charset val="134"/>
      </rPr>
      <t>神经网络</t>
    </r>
    <phoneticPr fontId="12" type="noConversion"/>
  </si>
  <si>
    <r>
      <rPr>
        <sz val="9"/>
        <color theme="1"/>
        <rFont val="微软雅黑"/>
        <family val="2"/>
        <charset val="134"/>
      </rPr>
      <t>盒模型</t>
    </r>
    <phoneticPr fontId="12" type="noConversion"/>
  </si>
  <si>
    <t>memcached</t>
    <phoneticPr fontId="12" type="noConversion"/>
  </si>
  <si>
    <t>socket</t>
    <phoneticPr fontId="12" type="noConversion"/>
  </si>
  <si>
    <t>Docker Compose</t>
    <phoneticPr fontId="12" type="noConversion"/>
  </si>
  <si>
    <t>Docker Swarm</t>
    <phoneticPr fontId="12" type="noConversion"/>
  </si>
  <si>
    <t>CI/CD</t>
    <phoneticPr fontId="12" type="noConversion"/>
  </si>
  <si>
    <t>Storage Driver</t>
    <phoneticPr fontId="12" type="noConversion"/>
  </si>
  <si>
    <t>overlay2</t>
    <phoneticPr fontId="12" type="noConversion"/>
  </si>
  <si>
    <t>aufs</t>
    <phoneticPr fontId="12" type="noConversion"/>
  </si>
  <si>
    <t>ext4</t>
    <phoneticPr fontId="12" type="noConversion"/>
  </si>
  <si>
    <t>xfs</t>
    <phoneticPr fontId="12" type="noConversion"/>
  </si>
  <si>
    <t>zfs</t>
    <phoneticPr fontId="12" type="noConversion"/>
  </si>
  <si>
    <t>btrfs</t>
    <phoneticPr fontId="12" type="noConversion"/>
  </si>
  <si>
    <t>btrfs</t>
    <phoneticPr fontId="12" type="noConversion"/>
  </si>
  <si>
    <t>zfs</t>
    <phoneticPr fontId="12" type="noConversion"/>
  </si>
  <si>
    <t>Tencent Cloud</t>
    <phoneticPr fontId="12" type="noConversion"/>
  </si>
  <si>
    <t>CLB</t>
    <phoneticPr fontId="12" type="noConversion"/>
  </si>
  <si>
    <r>
      <t>SSL</t>
    </r>
    <r>
      <rPr>
        <sz val="9"/>
        <color theme="1"/>
        <rFont val="微软雅黑"/>
        <family val="2"/>
        <charset val="134"/>
      </rPr>
      <t>证书</t>
    </r>
  </si>
  <si>
    <t>Deadlock</t>
    <phoneticPr fontId="12" type="noConversion"/>
  </si>
  <si>
    <t>XEL for Deadlock</t>
    <phoneticPr fontId="12" type="noConversion"/>
  </si>
  <si>
    <t>Genercis</t>
    <phoneticPr fontId="12" type="noConversion"/>
  </si>
  <si>
    <t>PECS</t>
    <phoneticPr fontId="12" type="noConversion"/>
  </si>
  <si>
    <t>fork</t>
    <phoneticPr fontId="12" type="noConversion"/>
  </si>
  <si>
    <t>net.ipv4.tcp_fin_timeout</t>
    <phoneticPr fontId="12" type="noConversion"/>
  </si>
  <si>
    <t>Page Cache</t>
    <phoneticPr fontId="12" type="noConversion"/>
  </si>
  <si>
    <t>Excel</t>
    <phoneticPr fontId="12" type="noConversion"/>
  </si>
  <si>
    <t>Pivot Table</t>
    <phoneticPr fontId="12" type="noConversion"/>
  </si>
  <si>
    <t>File Event Handler</t>
    <phoneticPr fontId="12" type="noConversion"/>
  </si>
  <si>
    <t>Reactor</t>
    <phoneticPr fontId="12" type="noConversion"/>
  </si>
  <si>
    <t>IO Multiplexing</t>
    <phoneticPr fontId="12" type="noConversion"/>
  </si>
  <si>
    <t>Event Library</t>
    <phoneticPr fontId="12" type="noConversion"/>
  </si>
  <si>
    <t>Bind Mounts</t>
    <phoneticPr fontId="12" type="noConversion"/>
  </si>
  <si>
    <t>Performance</t>
    <phoneticPr fontId="12" type="noConversion"/>
  </si>
  <si>
    <t>APM</t>
    <phoneticPr fontId="12" type="noConversion"/>
  </si>
  <si>
    <t>APDEX</t>
    <phoneticPr fontId="12" type="noConversion"/>
  </si>
  <si>
    <t>emo</t>
    <phoneticPr fontId="12" type="noConversion"/>
  </si>
  <si>
    <t>Data Types</t>
    <phoneticPr fontId="12" type="noConversion"/>
  </si>
  <si>
    <t>Dbeaver</t>
    <phoneticPr fontId="12" type="noConversion"/>
  </si>
  <si>
    <t>ONNX</t>
    <phoneticPr fontId="12" type="noConversion"/>
  </si>
  <si>
    <t>AI</t>
    <phoneticPr fontId="12" type="noConversion"/>
  </si>
  <si>
    <t>Eviction policies</t>
    <phoneticPr fontId="12" type="noConversion"/>
  </si>
  <si>
    <t>Expired Key Removal</t>
    <phoneticPr fontId="12" type="noConversion"/>
  </si>
  <si>
    <t>LRU</t>
    <phoneticPr fontId="12" type="noConversion"/>
  </si>
  <si>
    <t>Consistency</t>
    <phoneticPr fontId="12" type="noConversion"/>
  </si>
  <si>
    <t>Jupyter Notebook</t>
    <phoneticPr fontId="12" type="noConversion"/>
  </si>
  <si>
    <t>Named &amp; Anonymous</t>
    <phoneticPr fontId="12" type="noConversion"/>
  </si>
  <si>
    <t>Replication</t>
    <phoneticPr fontId="12" type="noConversion"/>
  </si>
  <si>
    <t>vicuna</t>
    <phoneticPr fontId="12" type="noConversion"/>
  </si>
  <si>
    <t>Chatbot</t>
    <phoneticPr fontId="12" type="noConversion"/>
  </si>
  <si>
    <t>LLaMA</t>
    <phoneticPr fontId="12" type="noConversion"/>
  </si>
  <si>
    <t>LLM</t>
    <phoneticPr fontId="12" type="noConversion"/>
  </si>
  <si>
    <t>大脑的奥秘</t>
    <phoneticPr fontId="12" type="noConversion"/>
  </si>
  <si>
    <t>requirepass</t>
    <phoneticPr fontId="12" type="noConversion"/>
  </si>
  <si>
    <t>run ID</t>
    <phoneticPr fontId="12" type="noConversion"/>
  </si>
  <si>
    <t>城南旧事</t>
    <phoneticPr fontId="12" type="noConversion"/>
  </si>
  <si>
    <t>万历十五年</t>
    <phoneticPr fontId="12" type="noConversion"/>
  </si>
  <si>
    <t>从一到无穷大</t>
    <phoneticPr fontId="12" type="noConversion"/>
  </si>
  <si>
    <t>第二次世界大战战史</t>
    <phoneticPr fontId="12" type="noConversion"/>
  </si>
  <si>
    <t>窗边的小豆豆</t>
    <phoneticPr fontId="12" type="noConversion"/>
  </si>
  <si>
    <t>雨衣</t>
    <phoneticPr fontId="12" type="noConversion"/>
  </si>
  <si>
    <t>双城记</t>
    <phoneticPr fontId="12" type="noConversion"/>
  </si>
  <si>
    <t>量子纠缠</t>
    <phoneticPr fontId="12" type="noConversion"/>
  </si>
  <si>
    <t>蛙</t>
    <phoneticPr fontId="12" type="noConversion"/>
  </si>
  <si>
    <t>B Tree</t>
    <phoneticPr fontId="12" type="noConversion"/>
  </si>
  <si>
    <t>Sentinel</t>
    <phoneticPr fontId="12" type="noConversion"/>
  </si>
  <si>
    <t>CAP Theorem</t>
    <phoneticPr fontId="12" type="noConversion"/>
  </si>
  <si>
    <t>Data Loss in Shift</t>
    <phoneticPr fontId="12" type="noConversion"/>
  </si>
  <si>
    <t>Master-Slave Shift</t>
    <phoneticPr fontId="12" type="noConversion"/>
  </si>
  <si>
    <t>Power Apps</t>
    <phoneticPr fontId="12" type="noConversion"/>
  </si>
  <si>
    <t>web-view</t>
    <phoneticPr fontId="12" type="noConversion"/>
  </si>
  <si>
    <t>Window Function</t>
    <phoneticPr fontId="12" type="noConversion"/>
  </si>
  <si>
    <t>Azure</t>
    <phoneticPr fontId="12" type="noConversion"/>
  </si>
  <si>
    <t>Cloud</t>
    <phoneticPr fontId="12" type="noConversion"/>
  </si>
  <si>
    <t>License</t>
    <phoneticPr fontId="12" type="noConversion"/>
  </si>
  <si>
    <t>中国科学技术史</t>
    <phoneticPr fontId="12" type="noConversion"/>
  </si>
  <si>
    <t>美的历程 (B)</t>
    <phoneticPr fontId="12" type="noConversion"/>
  </si>
  <si>
    <t>Communication</t>
    <phoneticPr fontId="12" type="noConversion"/>
  </si>
  <si>
    <t>Election</t>
    <phoneticPr fontId="12" type="noConversion"/>
  </si>
  <si>
    <t>WITH (NOLOCK)</t>
    <phoneticPr fontId="12" type="noConversion"/>
  </si>
  <si>
    <t>Table Hints</t>
    <phoneticPr fontId="12" type="noConversion"/>
  </si>
  <si>
    <t>架构师书库</t>
    <phoneticPr fontId="12" type="noConversion"/>
  </si>
  <si>
    <t>nsenter</t>
    <phoneticPr fontId="12" type="noConversion"/>
  </si>
  <si>
    <t>Personal Access Token</t>
    <phoneticPr fontId="12" type="noConversion"/>
  </si>
  <si>
    <t>Format String</t>
    <phoneticPr fontId="12" type="noConversion"/>
  </si>
  <si>
    <t>created()</t>
    <phoneticPr fontId="12" type="noConversion"/>
  </si>
  <si>
    <t>mounted()</t>
    <phoneticPr fontId="12" type="noConversion"/>
  </si>
  <si>
    <t>Grant Types</t>
    <phoneticPr fontId="12" type="noConversion"/>
  </si>
  <si>
    <t>藏书馆</t>
    <phoneticPr fontId="12" type="noConversion"/>
  </si>
  <si>
    <t>Trino</t>
    <phoneticPr fontId="12" type="noConversion"/>
  </si>
  <si>
    <t>Apache Ranger</t>
    <phoneticPr fontId="12" type="noConversion"/>
  </si>
  <si>
    <t>Metabase</t>
    <phoneticPr fontId="12" type="noConversion"/>
  </si>
  <si>
    <t>Maintenance</t>
    <phoneticPr fontId="12" type="noConversion"/>
  </si>
  <si>
    <t>Business Intelligence</t>
    <phoneticPr fontId="12" type="noConversion"/>
  </si>
  <si>
    <t>Persistence</t>
    <phoneticPr fontId="12" type="noConversion"/>
  </si>
  <si>
    <t>Commit</t>
    <phoneticPr fontId="12" type="noConversion"/>
  </si>
  <si>
    <t>Parent Commit</t>
    <phoneticPr fontId="12" type="noConversion"/>
  </si>
  <si>
    <t>volumes-from</t>
    <phoneticPr fontId="12" type="noConversion"/>
  </si>
  <si>
    <t>Distributed Database Engine</t>
    <phoneticPr fontId="12" type="noConversion"/>
  </si>
  <si>
    <t>GraphQL</t>
    <phoneticPr fontId="12" type="noConversion"/>
  </si>
  <si>
    <t>Commit Graph</t>
    <phoneticPr fontId="12" type="noConversion"/>
  </si>
  <si>
    <t>中国式青春</t>
    <phoneticPr fontId="12" type="noConversion"/>
  </si>
  <si>
    <t>影子里的中国</t>
    <phoneticPr fontId="12" type="noConversion"/>
  </si>
  <si>
    <t>国学概论</t>
    <phoneticPr fontId="12" type="noConversion"/>
  </si>
  <si>
    <t>The Art of Computer Programming</t>
    <phoneticPr fontId="12" type="noConversion"/>
  </si>
  <si>
    <t>MERGE Statement</t>
    <phoneticPr fontId="12" type="noConversion"/>
  </si>
  <si>
    <t>明朝那些事儿(七)</t>
    <phoneticPr fontId="12" type="noConversion"/>
  </si>
  <si>
    <t>明朝那些事儿(四)</t>
    <phoneticPr fontId="12" type="noConversion"/>
  </si>
  <si>
    <t>三体(III)</t>
    <phoneticPr fontId="12" type="noConversion"/>
  </si>
  <si>
    <t>三体(II)</t>
    <phoneticPr fontId="12" type="noConversion"/>
  </si>
  <si>
    <t>鬼车</t>
    <phoneticPr fontId="12" type="noConversion"/>
  </si>
  <si>
    <t>金拇指</t>
    <phoneticPr fontId="12" type="noConversion"/>
  </si>
  <si>
    <t>生化保姆</t>
    <phoneticPr fontId="12" type="noConversion"/>
  </si>
  <si>
    <t>战败之夏</t>
    <phoneticPr fontId="12" type="noConversion"/>
  </si>
  <si>
    <t>失去的胜利</t>
    <phoneticPr fontId="12" type="noConversion"/>
  </si>
  <si>
    <t>隆美尔战时文件</t>
    <phoneticPr fontId="12" type="noConversion"/>
  </si>
  <si>
    <t>二战实录</t>
    <phoneticPr fontId="12" type="noConversion"/>
  </si>
  <si>
    <t>我的野蛮女友</t>
    <phoneticPr fontId="12" type="noConversion"/>
  </si>
  <si>
    <t>量子世界</t>
    <phoneticPr fontId="12" type="noConversion"/>
  </si>
  <si>
    <t>时间简史(普及版）</t>
    <phoneticPr fontId="12" type="noConversion"/>
  </si>
  <si>
    <t>大设计</t>
    <phoneticPr fontId="12" type="noConversion"/>
  </si>
  <si>
    <t>果壳中的宇宙</t>
    <phoneticPr fontId="12" type="noConversion"/>
  </si>
  <si>
    <t>地球杀场</t>
    <phoneticPr fontId="12" type="noConversion"/>
  </si>
  <si>
    <t>上帝的指纹(下)</t>
    <phoneticPr fontId="12" type="noConversion"/>
  </si>
  <si>
    <t>上帝的指纹(上)</t>
    <phoneticPr fontId="12" type="noConversion"/>
  </si>
  <si>
    <t>源氏物语(下)</t>
    <phoneticPr fontId="12" type="noConversion"/>
  </si>
  <si>
    <t>源氏物语(中)</t>
    <phoneticPr fontId="12" type="noConversion"/>
  </si>
  <si>
    <t>源氏物语(上)</t>
    <phoneticPr fontId="12" type="noConversion"/>
  </si>
  <si>
    <t>武田信玄(下)</t>
    <phoneticPr fontId="12" type="noConversion"/>
  </si>
  <si>
    <t>武田信玄(上)</t>
    <phoneticPr fontId="12" type="noConversion"/>
  </si>
  <si>
    <t>关原之战</t>
    <phoneticPr fontId="12" type="noConversion"/>
  </si>
  <si>
    <t>德川家康(四)</t>
    <phoneticPr fontId="12" type="noConversion"/>
  </si>
  <si>
    <t>德川家康(三)</t>
    <phoneticPr fontId="12" type="noConversion"/>
  </si>
  <si>
    <t>德川家康(二)</t>
    <phoneticPr fontId="12" type="noConversion"/>
  </si>
  <si>
    <t>知乎周刊·记忆的21个秘密</t>
    <phoneticPr fontId="12" type="noConversion"/>
  </si>
  <si>
    <t>知乎周刊·地球好忙</t>
    <phoneticPr fontId="12" type="noConversion"/>
  </si>
  <si>
    <t>对面的女孩</t>
    <phoneticPr fontId="12" type="noConversion"/>
  </si>
  <si>
    <t>复活</t>
    <phoneticPr fontId="12" type="noConversion"/>
  </si>
  <si>
    <t>新药的故事1</t>
    <phoneticPr fontId="12" type="noConversion"/>
  </si>
  <si>
    <t>纳粹德国</t>
    <phoneticPr fontId="12" type="noConversion"/>
  </si>
  <si>
    <t>How to Speak and Write Correctly</t>
    <phoneticPr fontId="12" type="noConversion"/>
  </si>
  <si>
    <t>明朝那些事儿(五)</t>
    <phoneticPr fontId="12" type="noConversion"/>
  </si>
  <si>
    <t>明朝那些事儿(六)</t>
    <phoneticPr fontId="12" type="noConversion"/>
  </si>
  <si>
    <t>全球通史(上)</t>
    <phoneticPr fontId="12" type="noConversion"/>
  </si>
  <si>
    <t>全球通史(下)</t>
    <phoneticPr fontId="12" type="noConversion"/>
  </si>
  <si>
    <t>德川家康(一)</t>
    <phoneticPr fontId="12" type="noConversion"/>
  </si>
  <si>
    <t>德川家康(十三)</t>
    <phoneticPr fontId="12" type="noConversion"/>
  </si>
  <si>
    <t>夜玫瑰</t>
    <phoneticPr fontId="12" type="noConversion"/>
  </si>
  <si>
    <t>Identity Management</t>
    <phoneticPr fontId="12" type="noConversion"/>
  </si>
  <si>
    <t>月光宝盒</t>
    <phoneticPr fontId="12" type="noConversion"/>
  </si>
  <si>
    <t>蒙田随笔</t>
    <phoneticPr fontId="12" type="noConversion"/>
  </si>
  <si>
    <t>浪潮之巅</t>
    <phoneticPr fontId="12" type="noConversion"/>
  </si>
  <si>
    <t>医学联络官进阶之路</t>
    <phoneticPr fontId="12" type="noConversion"/>
  </si>
  <si>
    <t>我在小米做爆品</t>
    <phoneticPr fontId="12" type="noConversion"/>
  </si>
  <si>
    <t>ifconfig</t>
    <phoneticPr fontId="12" type="noConversion"/>
  </si>
  <si>
    <t>ip addr</t>
    <phoneticPr fontId="12" type="noConversion"/>
  </si>
  <si>
    <t>T-SQL</t>
    <phoneticPr fontId="12" type="noConversion"/>
  </si>
  <si>
    <t>sp_who2</t>
    <phoneticPr fontId="12" type="noConversion"/>
  </si>
  <si>
    <t>packages</t>
    <phoneticPr fontId="12" type="noConversion"/>
  </si>
  <si>
    <t>LaTex</t>
    <phoneticPr fontId="12" type="noConversion"/>
  </si>
  <si>
    <t>Katex</t>
    <phoneticPr fontId="12" type="noConversion"/>
  </si>
  <si>
    <t>阿里云</t>
    <phoneticPr fontId="12" type="noConversion"/>
  </si>
  <si>
    <t>OPDS</t>
    <phoneticPr fontId="12" type="noConversion"/>
  </si>
  <si>
    <t>CMD</t>
    <phoneticPr fontId="12" type="noConversion"/>
  </si>
  <si>
    <t>ENTRYPOINT</t>
    <phoneticPr fontId="12" type="noConversion"/>
  </si>
  <si>
    <t>Toolchains</t>
    <phoneticPr fontId="12" type="noConversion"/>
  </si>
  <si>
    <t>Spring Cloud Alibaba</t>
    <phoneticPr fontId="12" type="noConversion"/>
  </si>
  <si>
    <t>Nacos</t>
    <phoneticPr fontId="12" type="noConversion"/>
  </si>
  <si>
    <t>Spring Gateway</t>
    <phoneticPr fontId="12" type="noConversion"/>
  </si>
  <si>
    <t>Cluster bus</t>
    <phoneticPr fontId="12" type="noConversion"/>
  </si>
  <si>
    <t>Data Distribution</t>
    <phoneticPr fontId="12" type="noConversion"/>
  </si>
  <si>
    <t>labelling</t>
    <phoneticPr fontId="12" type="noConversion"/>
  </si>
  <si>
    <t>OpenStack</t>
    <phoneticPr fontId="12" type="noConversion"/>
  </si>
  <si>
    <t>Open vSwitch</t>
    <phoneticPr fontId="12" type="noConversion"/>
  </si>
  <si>
    <t>bijection</t>
    <phoneticPr fontId="12" type="noConversion"/>
  </si>
  <si>
    <t>双向单射</t>
    <phoneticPr fontId="12" type="noConversion"/>
  </si>
  <si>
    <t>Consistent Hash</t>
    <phoneticPr fontId="12" type="noConversion"/>
  </si>
  <si>
    <t>Spring Security</t>
    <phoneticPr fontId="12" type="noConversion"/>
  </si>
  <si>
    <t>宋词三百首笺注</t>
    <phoneticPr fontId="12" type="noConversion"/>
  </si>
  <si>
    <t>Schedule</t>
    <phoneticPr fontId="4" type="noConversion"/>
  </si>
  <si>
    <t>NAT</t>
    <phoneticPr fontId="12" type="noConversion"/>
  </si>
  <si>
    <t>Feign</t>
    <phoneticPr fontId="12" type="noConversion"/>
  </si>
  <si>
    <t>模板消息</t>
    <phoneticPr fontId="12" type="noConversion"/>
  </si>
  <si>
    <t>Container Connection</t>
    <phoneticPr fontId="12" type="noConversion"/>
  </si>
  <si>
    <t>Kindle</t>
    <phoneticPr fontId="4" type="noConversion"/>
  </si>
  <si>
    <t>Hash Slot</t>
    <phoneticPr fontId="12" type="noConversion"/>
  </si>
  <si>
    <t>Network Drivers</t>
    <phoneticPr fontId="12" type="noConversion"/>
  </si>
  <si>
    <t>Default network</t>
    <phoneticPr fontId="12" type="noConversion"/>
  </si>
  <si>
    <t>Custom Network</t>
    <phoneticPr fontId="12" type="noConversion"/>
  </si>
  <si>
    <t>Nodes Communication</t>
    <phoneticPr fontId="12" type="noConversion"/>
  </si>
  <si>
    <t>Network Connection</t>
    <phoneticPr fontId="12" type="noConversion"/>
  </si>
  <si>
    <t>娱乐至死 (G)</t>
    <phoneticPr fontId="12" type="noConversion"/>
  </si>
  <si>
    <t>论中国古代的知识分类与典籍分类 (G)</t>
    <phoneticPr fontId="12" type="noConversion"/>
  </si>
  <si>
    <t>书读完了 (I)</t>
    <phoneticPr fontId="12" type="noConversion"/>
  </si>
  <si>
    <t>故事 (I)</t>
    <phoneticPr fontId="12" type="noConversion"/>
  </si>
  <si>
    <t>ln</t>
    <phoneticPr fontId="12" type="noConversion"/>
  </si>
  <si>
    <t>精力管理</t>
    <phoneticPr fontId="12" type="noConversion"/>
  </si>
  <si>
    <t>巴菲特与索罗斯的投资习惯</t>
    <phoneticPr fontId="12" type="noConversion"/>
  </si>
  <si>
    <t>The Pomodoro Technique</t>
    <phoneticPr fontId="12" type="noConversion"/>
  </si>
  <si>
    <t>普鲁斯特与乌贼</t>
    <phoneticPr fontId="12" type="noConversion"/>
  </si>
  <si>
    <t>孙子兵法</t>
    <phoneticPr fontId="12" type="noConversion"/>
  </si>
  <si>
    <t>Jedis</t>
    <phoneticPr fontId="12" type="noConversion"/>
  </si>
  <si>
    <t>中国历史</t>
    <phoneticPr fontId="12" type="noConversion"/>
  </si>
  <si>
    <t>Smart Jedis</t>
    <phoneticPr fontId="12" type="noConversion"/>
  </si>
  <si>
    <t>说部之乱</t>
    <phoneticPr fontId="12" type="noConversion"/>
  </si>
  <si>
    <t>Email</t>
    <phoneticPr fontId="12" type="noConversion"/>
  </si>
  <si>
    <t>df</t>
    <phoneticPr fontId="12" type="noConversion"/>
  </si>
  <si>
    <t>Virtualization</t>
    <phoneticPr fontId="12" type="noConversion"/>
  </si>
  <si>
    <t>Hypervisor</t>
    <phoneticPr fontId="12" type="noConversion"/>
  </si>
  <si>
    <t>Container Orchestration</t>
    <phoneticPr fontId="12" type="noConversion"/>
  </si>
  <si>
    <t>OpenShift</t>
    <phoneticPr fontId="12" type="noConversion"/>
  </si>
  <si>
    <t>API Server</t>
    <phoneticPr fontId="12" type="noConversion"/>
  </si>
  <si>
    <t>Scheduler</t>
    <phoneticPr fontId="12" type="noConversion"/>
  </si>
  <si>
    <t>Controller Manager</t>
    <phoneticPr fontId="12" type="noConversion"/>
  </si>
  <si>
    <t>etcd</t>
    <phoneticPr fontId="12" type="noConversion"/>
  </si>
  <si>
    <t>kubelet</t>
    <phoneticPr fontId="12" type="noConversion"/>
  </si>
  <si>
    <t>ehcache</t>
    <phoneticPr fontId="12" type="noConversion"/>
  </si>
  <si>
    <t>Hystrix</t>
    <phoneticPr fontId="12" type="noConversion"/>
  </si>
  <si>
    <t>肇造区夏</t>
    <phoneticPr fontId="12" type="noConversion"/>
  </si>
  <si>
    <t>kube-proxy</t>
    <phoneticPr fontId="12" type="noConversion"/>
  </si>
  <si>
    <t>Master Node</t>
    <phoneticPr fontId="12" type="noConversion"/>
  </si>
  <si>
    <t>Worker Node</t>
    <phoneticPr fontId="12" type="noConversion"/>
  </si>
  <si>
    <t>Pod</t>
    <phoneticPr fontId="12" type="noConversion"/>
  </si>
  <si>
    <t>Service</t>
    <phoneticPr fontId="12" type="noConversion"/>
  </si>
  <si>
    <t>Label</t>
    <phoneticPr fontId="12" type="noConversion"/>
  </si>
  <si>
    <t>Kubeadm</t>
    <phoneticPr fontId="12" type="noConversion"/>
  </si>
  <si>
    <t>minikube</t>
    <phoneticPr fontId="12" type="noConversion"/>
  </si>
  <si>
    <t>POM configuration</t>
    <phoneticPr fontId="12" type="noConversion"/>
  </si>
  <si>
    <t>iptables</t>
    <phoneticPr fontId="12" type="noConversion"/>
  </si>
  <si>
    <t>firewalld</t>
    <phoneticPr fontId="12" type="noConversion"/>
  </si>
  <si>
    <t>swap</t>
    <phoneticPr fontId="12" type="noConversion"/>
  </si>
  <si>
    <t>fstab</t>
    <phoneticPr fontId="12" type="noConversion"/>
  </si>
  <si>
    <t>sysctl.d</t>
    <phoneticPr fontId="12" type="noConversion"/>
  </si>
  <si>
    <t>sysctl</t>
    <phoneticPr fontId="12" type="noConversion"/>
  </si>
  <si>
    <t>modprobe</t>
    <phoneticPr fontId="12" type="noConversion"/>
  </si>
  <si>
    <t>lsmod</t>
    <phoneticPr fontId="12" type="noConversion"/>
  </si>
  <si>
    <t>ipvs</t>
    <phoneticPr fontId="12" type="noConversion"/>
  </si>
  <si>
    <t>Virtual IPs</t>
    <phoneticPr fontId="12" type="noConversion"/>
  </si>
  <si>
    <t>ipset</t>
    <phoneticPr fontId="12" type="noConversion"/>
  </si>
  <si>
    <t>ipvsadmin</t>
    <phoneticPr fontId="12" type="noConversion"/>
  </si>
  <si>
    <t>Q: 5</t>
    <phoneticPr fontId="12" type="noConversion"/>
  </si>
  <si>
    <t>华语榜</t>
    <phoneticPr fontId="12" type="noConversion"/>
  </si>
  <si>
    <t>fdc</t>
  </si>
  <si>
    <t>flp</t>
  </si>
  <si>
    <t>fuc</t>
  </si>
  <si>
    <t>gcp</t>
  </si>
  <si>
    <t>glc</t>
  </si>
  <si>
    <t>gtp</t>
  </si>
  <si>
    <t>hcc</t>
  </si>
  <si>
    <t>hkp</t>
  </si>
  <si>
    <t>htc</t>
  </si>
  <si>
    <t>ibp</t>
  </si>
  <si>
    <t>ikc</t>
  </si>
  <si>
    <t>isp</t>
  </si>
  <si>
    <t>jbc</t>
  </si>
  <si>
    <t>jjp</t>
  </si>
  <si>
    <t>jsc</t>
  </si>
  <si>
    <t>kap</t>
  </si>
  <si>
    <t>kjc</t>
  </si>
  <si>
    <t>krp</t>
  </si>
  <si>
    <t>lac</t>
  </si>
  <si>
    <t>lip</t>
  </si>
  <si>
    <t>lrc</t>
  </si>
  <si>
    <t>lzp</t>
  </si>
  <si>
    <t>mic</t>
  </si>
  <si>
    <t>mqp</t>
  </si>
  <si>
    <t>mzc</t>
  </si>
  <si>
    <t>nhp</t>
  </si>
  <si>
    <t>nqc</t>
  </si>
  <si>
    <t>nyp</t>
  </si>
  <si>
    <t>ohc</t>
  </si>
  <si>
    <t>opp</t>
  </si>
  <si>
    <t>oyc</t>
  </si>
  <si>
    <t>pgp</t>
  </si>
  <si>
    <t>ppc</t>
  </si>
  <si>
    <t>pxp</t>
  </si>
  <si>
    <t>qgc</t>
  </si>
  <si>
    <t>qop</t>
  </si>
  <si>
    <t>qxc</t>
  </si>
  <si>
    <t>rfp</t>
  </si>
  <si>
    <t>roc</t>
  </si>
  <si>
    <t>rwp</t>
  </si>
  <si>
    <t>sfc</t>
  </si>
  <si>
    <t>snp</t>
  </si>
  <si>
    <t>swc</t>
  </si>
  <si>
    <t>tep</t>
  </si>
  <si>
    <t>tnc</t>
  </si>
  <si>
    <t>tvp</t>
  </si>
  <si>
    <t>uec</t>
  </si>
  <si>
    <t>ump</t>
  </si>
  <si>
    <t>uvc</t>
  </si>
  <si>
    <t>vdp</t>
  </si>
  <si>
    <t>vmc</t>
  </si>
  <si>
    <t>vup</t>
  </si>
  <si>
    <t>wdc</t>
  </si>
  <si>
    <t>wlp</t>
  </si>
  <si>
    <t>wuc</t>
  </si>
  <si>
    <t>xcp</t>
  </si>
  <si>
    <t>xlc</t>
  </si>
  <si>
    <t>xtp</t>
  </si>
  <si>
    <t>ycc</t>
  </si>
  <si>
    <t>ykp</t>
  </si>
  <si>
    <t>ytc</t>
  </si>
  <si>
    <t>zbp</t>
  </si>
  <si>
    <t>zkc</t>
  </si>
  <si>
    <t>exw</t>
  </si>
  <si>
    <t>eyn</t>
  </si>
  <si>
    <t>eze</t>
  </si>
  <si>
    <t>ezv</t>
  </si>
  <si>
    <t>fam</t>
  </si>
  <si>
    <t>fbd</t>
  </si>
  <si>
    <t>fbu</t>
  </si>
  <si>
    <t>fcl</t>
  </si>
  <si>
    <t>fdt</t>
  </si>
  <si>
    <t>fek</t>
  </si>
  <si>
    <t>ffb</t>
  </si>
  <si>
    <t>ffs</t>
  </si>
  <si>
    <t>fgj</t>
  </si>
  <si>
    <t>fha</t>
  </si>
  <si>
    <t>fhr</t>
  </si>
  <si>
    <t>fii</t>
  </si>
  <si>
    <t>fiz</t>
  </si>
  <si>
    <t>fjq</t>
  </si>
  <si>
    <t>fkh</t>
  </si>
  <si>
    <t>fky</t>
  </si>
  <si>
    <t>fmg</t>
  </si>
  <si>
    <t>fmx</t>
  </si>
  <si>
    <t>fno</t>
  </si>
  <si>
    <t>fof</t>
  </si>
  <si>
    <t>fow</t>
  </si>
  <si>
    <t>fpn</t>
  </si>
  <si>
    <t>fqe</t>
  </si>
  <si>
    <t>fqv</t>
  </si>
  <si>
    <t>frm</t>
  </si>
  <si>
    <t>fsd</t>
  </si>
  <si>
    <t>fsu</t>
  </si>
  <si>
    <t>ftl</t>
  </si>
  <si>
    <t>fut</t>
  </si>
  <si>
    <t>fvk</t>
  </si>
  <si>
    <t>fwb</t>
  </si>
  <si>
    <t>fws</t>
  </si>
  <si>
    <t>fxj</t>
  </si>
  <si>
    <t>fya</t>
  </si>
  <si>
    <t>fyr</t>
  </si>
  <si>
    <t>fzi</t>
  </si>
  <si>
    <t>fzz</t>
  </si>
  <si>
    <t>gaq</t>
  </si>
  <si>
    <t>gbh</t>
  </si>
  <si>
    <t>gby</t>
  </si>
  <si>
    <t>gdg</t>
  </si>
  <si>
    <t>gdx</t>
  </si>
  <si>
    <t>geo</t>
  </si>
  <si>
    <t>gff</t>
  </si>
  <si>
    <t>gfw</t>
  </si>
  <si>
    <t>ggn</t>
  </si>
  <si>
    <t>ghe</t>
  </si>
  <si>
    <t>ghv</t>
  </si>
  <si>
    <t>gim</t>
  </si>
  <si>
    <t>gjd</t>
  </si>
  <si>
    <t>gju</t>
  </si>
  <si>
    <t>gkl</t>
  </si>
  <si>
    <t>glt</t>
  </si>
  <si>
    <t>gmk</t>
  </si>
  <si>
    <t>gnb</t>
  </si>
  <si>
    <t>gns</t>
  </si>
  <si>
    <t>goj</t>
  </si>
  <si>
    <t>gpa</t>
  </si>
  <si>
    <t>gpr</t>
  </si>
  <si>
    <t>gqi</t>
  </si>
  <si>
    <t>gqz</t>
  </si>
  <si>
    <t>grq</t>
  </si>
  <si>
    <t>gsh</t>
  </si>
  <si>
    <t>gsy</t>
  </si>
  <si>
    <t>gug</t>
  </si>
  <si>
    <t>gux</t>
  </si>
  <si>
    <t>gvo</t>
  </si>
  <si>
    <t>gwf</t>
  </si>
  <si>
    <t>gww</t>
  </si>
  <si>
    <t>gxn</t>
  </si>
  <si>
    <t>gye</t>
  </si>
  <si>
    <t>gyv</t>
  </si>
  <si>
    <t>gzm</t>
  </si>
  <si>
    <t>had</t>
  </si>
  <si>
    <t>hau</t>
  </si>
  <si>
    <t>hbl</t>
  </si>
  <si>
    <t>hct</t>
  </si>
  <si>
    <t>hdk</t>
  </si>
  <si>
    <t>heb</t>
  </si>
  <si>
    <t>hes</t>
  </si>
  <si>
    <t>hfj</t>
  </si>
  <si>
    <t>hga</t>
  </si>
  <si>
    <t>hgr</t>
  </si>
  <si>
    <t>hhi</t>
  </si>
  <si>
    <t>hhz</t>
  </si>
  <si>
    <t>hiq</t>
  </si>
  <si>
    <t>hjh</t>
  </si>
  <si>
    <t>hjy</t>
  </si>
  <si>
    <t>hlg</t>
  </si>
  <si>
    <t>hlx</t>
  </si>
  <si>
    <t>hmo</t>
  </si>
  <si>
    <t>hnf</t>
  </si>
  <si>
    <t>hnw</t>
  </si>
  <si>
    <t>hon</t>
  </si>
  <si>
    <t>hpe</t>
  </si>
  <si>
    <t>hpv</t>
  </si>
  <si>
    <t>hqm</t>
  </si>
  <si>
    <t>hrd</t>
  </si>
  <si>
    <t>hru</t>
  </si>
  <si>
    <t>hsl</t>
  </si>
  <si>
    <t>htt</t>
  </si>
  <si>
    <t>huk</t>
  </si>
  <si>
    <t>hvb</t>
  </si>
  <si>
    <t>hvs</t>
  </si>
  <si>
    <t>hwj</t>
  </si>
  <si>
    <t>hxa</t>
  </si>
  <si>
    <t>hxr</t>
  </si>
  <si>
    <t>hyi</t>
  </si>
  <si>
    <t>hyz</t>
  </si>
  <si>
    <t>hzq</t>
  </si>
  <si>
    <t>iah</t>
  </si>
  <si>
    <t>iay</t>
  </si>
  <si>
    <t>icg</t>
  </si>
  <si>
    <t>icx</t>
  </si>
  <si>
    <t>ido</t>
  </si>
  <si>
    <t>ief</t>
  </si>
  <si>
    <t>iew</t>
  </si>
  <si>
    <t>ifn</t>
  </si>
  <si>
    <t>ige</t>
  </si>
  <si>
    <t>igv</t>
  </si>
  <si>
    <t>ihm</t>
  </si>
  <si>
    <t>iid</t>
  </si>
  <si>
    <t>iiu</t>
  </si>
  <si>
    <t>ijl</t>
  </si>
  <si>
    <t>ikt</t>
  </si>
  <si>
    <t>ilk</t>
  </si>
  <si>
    <t>imb</t>
  </si>
  <si>
    <t>ims</t>
  </si>
  <si>
    <t>inj</t>
  </si>
  <si>
    <t>ioa</t>
  </si>
  <si>
    <t>ior</t>
  </si>
  <si>
    <t>ipi</t>
  </si>
  <si>
    <t>ipz</t>
  </si>
  <si>
    <t>iqq</t>
  </si>
  <si>
    <t>irh</t>
  </si>
  <si>
    <t>iry</t>
  </si>
  <si>
    <t>itg</t>
  </si>
  <si>
    <t>itx</t>
  </si>
  <si>
    <t>iuo</t>
  </si>
  <si>
    <t>ivf</t>
  </si>
  <si>
    <t>ivw</t>
  </si>
  <si>
    <t>iwn</t>
  </si>
  <si>
    <t>ixe</t>
  </si>
  <si>
    <t>ixv</t>
  </si>
  <si>
    <t>iym</t>
  </si>
  <si>
    <t>izd</t>
  </si>
  <si>
    <t>izu</t>
  </si>
  <si>
    <t>jal</t>
  </si>
  <si>
    <t>jbt</t>
  </si>
  <si>
    <t>jck</t>
  </si>
  <si>
    <t>jdb</t>
  </si>
  <si>
    <t>jds</t>
  </si>
  <si>
    <t>jej</t>
  </si>
  <si>
    <t>jfa</t>
  </si>
  <si>
    <t>jfr</t>
  </si>
  <si>
    <t>jgi</t>
  </si>
  <si>
    <t>jgz</t>
  </si>
  <si>
    <t>jhq</t>
  </si>
  <si>
    <t>jih</t>
  </si>
  <si>
    <t>jiy</t>
  </si>
  <si>
    <t>jkg</t>
  </si>
  <si>
    <t>jkx</t>
  </si>
  <si>
    <t>jlo</t>
  </si>
  <si>
    <t>jmf</t>
  </si>
  <si>
    <t>jmw</t>
  </si>
  <si>
    <t>jnn</t>
  </si>
  <si>
    <t>joe</t>
  </si>
  <si>
    <t>jov</t>
  </si>
  <si>
    <t>jpm</t>
  </si>
  <si>
    <t>jqd</t>
  </si>
  <si>
    <t>jqu</t>
  </si>
  <si>
    <t>jrl</t>
  </si>
  <si>
    <t>jst</t>
  </si>
  <si>
    <t>jtk</t>
  </si>
  <si>
    <t>jub</t>
  </si>
  <si>
    <t>jus</t>
  </si>
  <si>
    <t>jvj</t>
  </si>
  <si>
    <t>jwa</t>
  </si>
  <si>
    <t>jwr</t>
  </si>
  <si>
    <t>jxi</t>
  </si>
  <si>
    <t>jxz</t>
  </si>
  <si>
    <t>jyq</t>
  </si>
  <si>
    <t>jzh</t>
  </si>
  <si>
    <t>jzy</t>
  </si>
  <si>
    <t>kbg</t>
  </si>
  <si>
    <t>kbx</t>
  </si>
  <si>
    <t>kco</t>
  </si>
  <si>
    <t>kdf</t>
  </si>
  <si>
    <t>kdw</t>
  </si>
  <si>
    <t>ken</t>
  </si>
  <si>
    <t>kfe</t>
  </si>
  <si>
    <t>kfv</t>
  </si>
  <si>
    <t>kgm</t>
  </si>
  <si>
    <t>khd</t>
  </si>
  <si>
    <t>khu</t>
  </si>
  <si>
    <t>kil</t>
  </si>
  <si>
    <t>kjt</t>
  </si>
  <si>
    <t>kkk</t>
  </si>
  <si>
    <t>klb</t>
  </si>
  <si>
    <t>kls</t>
  </si>
  <si>
    <t>kmj</t>
  </si>
  <si>
    <t>kna</t>
  </si>
  <si>
    <t>knr</t>
  </si>
  <si>
    <t>koi</t>
  </si>
  <si>
    <t>koz</t>
  </si>
  <si>
    <t>kpq</t>
  </si>
  <si>
    <t>kqh</t>
  </si>
  <si>
    <t>kqy</t>
  </si>
  <si>
    <t>ksg</t>
  </si>
  <si>
    <t>ksx</t>
  </si>
  <si>
    <t>kto</t>
  </si>
  <si>
    <t>kuf</t>
  </si>
  <si>
    <t>kuw</t>
  </si>
  <si>
    <t>kvn</t>
  </si>
  <si>
    <t>kwe</t>
  </si>
  <si>
    <t>kwv</t>
  </si>
  <si>
    <t>kxm</t>
  </si>
  <si>
    <t>kyd</t>
  </si>
  <si>
    <t>kyu</t>
  </si>
  <si>
    <t>kzl</t>
  </si>
  <si>
    <t>lat</t>
  </si>
  <si>
    <t>lbk</t>
  </si>
  <si>
    <t>lcb</t>
  </si>
  <si>
    <t>lcs</t>
  </si>
  <si>
    <t>ldj</t>
  </si>
  <si>
    <t>lea</t>
  </si>
  <si>
    <t>ler</t>
  </si>
  <si>
    <t>lfi</t>
  </si>
  <si>
    <t>lfz</t>
  </si>
  <si>
    <t>lgq</t>
  </si>
  <si>
    <t>lhh</t>
  </si>
  <si>
    <t>lhy</t>
  </si>
  <si>
    <t>ljg</t>
  </si>
  <si>
    <t>ljx</t>
  </si>
  <si>
    <t>lko</t>
  </si>
  <si>
    <t>llf</t>
  </si>
  <si>
    <t>llw</t>
  </si>
  <si>
    <t>lmn</t>
  </si>
  <si>
    <t>lne</t>
  </si>
  <si>
    <t>lnv</t>
  </si>
  <si>
    <t>lom</t>
  </si>
  <si>
    <t>lpd</t>
  </si>
  <si>
    <t>lpu</t>
  </si>
  <si>
    <t>lql</t>
  </si>
  <si>
    <t>lrt</t>
  </si>
  <si>
    <t>lsk</t>
  </si>
  <si>
    <t>ltb</t>
  </si>
  <si>
    <t>lts</t>
  </si>
  <si>
    <t>luj</t>
  </si>
  <si>
    <t>lva</t>
  </si>
  <si>
    <t>lvr</t>
  </si>
  <si>
    <t>lwi</t>
  </si>
  <si>
    <t>lwz</t>
  </si>
  <si>
    <t>lxq</t>
  </si>
  <si>
    <t>lyh</t>
  </si>
  <si>
    <t>lyy</t>
  </si>
  <si>
    <t>mag</t>
  </si>
  <si>
    <t>max</t>
  </si>
  <si>
    <t>mbo</t>
  </si>
  <si>
    <t>mcf</t>
  </si>
  <si>
    <t>mcw</t>
  </si>
  <si>
    <t>mdn</t>
  </si>
  <si>
    <t>mee</t>
  </si>
  <si>
    <t>mev</t>
  </si>
  <si>
    <t>mfm</t>
  </si>
  <si>
    <t>mgd</t>
  </si>
  <si>
    <t>mgu</t>
  </si>
  <si>
    <t>mhl</t>
  </si>
  <si>
    <t>mit</t>
  </si>
  <si>
    <t>mjk</t>
  </si>
  <si>
    <t>mkb</t>
  </si>
  <si>
    <t>mks</t>
  </si>
  <si>
    <t>mlj</t>
  </si>
  <si>
    <t>mma</t>
  </si>
  <si>
    <t>mmr</t>
  </si>
  <si>
    <t>mni</t>
  </si>
  <si>
    <t>mnz</t>
  </si>
  <si>
    <t>moq</t>
  </si>
  <si>
    <t>mph</t>
  </si>
  <si>
    <t>mpy</t>
  </si>
  <si>
    <t>mrg</t>
  </si>
  <si>
    <t>mrx</t>
  </si>
  <si>
    <t>mso</t>
  </si>
  <si>
    <t>mtf</t>
  </si>
  <si>
    <t>mtw</t>
  </si>
  <si>
    <t>mun</t>
  </si>
  <si>
    <t>mve</t>
  </si>
  <si>
    <t>mvv</t>
  </si>
  <si>
    <t>mwm</t>
  </si>
  <si>
    <t>mxd</t>
  </si>
  <si>
    <t>mxu</t>
  </si>
  <si>
    <t>myl</t>
  </si>
  <si>
    <t>mzt</t>
  </si>
  <si>
    <t>nak</t>
  </si>
  <si>
    <t>nbb</t>
  </si>
  <si>
    <t>nbs</t>
  </si>
  <si>
    <t>ncj</t>
  </si>
  <si>
    <t>nda</t>
  </si>
  <si>
    <t>ndr</t>
  </si>
  <si>
    <t>nei</t>
  </si>
  <si>
    <t>nez</t>
  </si>
  <si>
    <t>nfq</t>
  </si>
  <si>
    <t>ngh</t>
  </si>
  <si>
    <t>ngy</t>
  </si>
  <si>
    <t>nig</t>
  </si>
  <si>
    <t>nix</t>
  </si>
  <si>
    <t>njo</t>
  </si>
  <si>
    <t>nkf</t>
  </si>
  <si>
    <t>nkw</t>
  </si>
  <si>
    <t>nln</t>
  </si>
  <si>
    <t>nme</t>
  </si>
  <si>
    <t>nmv</t>
  </si>
  <si>
    <t>nnm</t>
  </si>
  <si>
    <t>nod</t>
  </si>
  <si>
    <t>nou</t>
  </si>
  <si>
    <t>npl</t>
  </si>
  <si>
    <t>nqt</t>
  </si>
  <si>
    <t>nrk</t>
  </si>
  <si>
    <t>nsb</t>
  </si>
  <si>
    <t>nss</t>
  </si>
  <si>
    <t>ntj</t>
  </si>
  <si>
    <t>nua</t>
  </si>
  <si>
    <t>nur</t>
  </si>
  <si>
    <t>nvi</t>
  </si>
  <si>
    <t>nvz</t>
  </si>
  <si>
    <t>nwq</t>
  </si>
  <si>
    <t>nxh</t>
  </si>
  <si>
    <t>nxy</t>
  </si>
  <si>
    <t>nzg</t>
  </si>
  <si>
    <t>nzx</t>
  </si>
  <si>
    <t>oao</t>
  </si>
  <si>
    <t>obf</t>
  </si>
  <si>
    <t>obw</t>
  </si>
  <si>
    <t>ocn</t>
  </si>
  <si>
    <t>ode</t>
  </si>
  <si>
    <t>odv</t>
  </si>
  <si>
    <t>oem</t>
  </si>
  <si>
    <t>ofd</t>
  </si>
  <si>
    <t>ofu</t>
  </si>
  <si>
    <t>ogl</t>
  </si>
  <si>
    <t>oht</t>
  </si>
  <si>
    <t>oik</t>
  </si>
  <si>
    <t>ojb</t>
  </si>
  <si>
    <t>ojs</t>
  </si>
  <si>
    <t>okj</t>
  </si>
  <si>
    <t>ola</t>
  </si>
  <si>
    <t>olr</t>
  </si>
  <si>
    <t>omi</t>
  </si>
  <si>
    <t>omz</t>
  </si>
  <si>
    <t>onq</t>
  </si>
  <si>
    <t>ooh</t>
  </si>
  <si>
    <t>ooy</t>
  </si>
  <si>
    <t>oqg</t>
  </si>
  <si>
    <t>oqx</t>
  </si>
  <si>
    <t>oro</t>
  </si>
  <si>
    <t>osf</t>
  </si>
  <si>
    <t>osw</t>
  </si>
  <si>
    <t>otn</t>
  </si>
  <si>
    <t>oue</t>
  </si>
  <si>
    <t>ouv</t>
  </si>
  <si>
    <t>ovm</t>
  </si>
  <si>
    <t>owd</t>
  </si>
  <si>
    <t>owu</t>
  </si>
  <si>
    <t>oxl</t>
  </si>
  <si>
    <t>oyt</t>
  </si>
  <si>
    <t>ozk</t>
  </si>
  <si>
    <t>pab</t>
  </si>
  <si>
    <t>pas</t>
  </si>
  <si>
    <t>pbj</t>
  </si>
  <si>
    <t>pca</t>
  </si>
  <si>
    <t>pcr</t>
  </si>
  <si>
    <t>pdi</t>
  </si>
  <si>
    <t>pdz</t>
  </si>
  <si>
    <t>peq</t>
  </si>
  <si>
    <t>pfh</t>
  </si>
  <si>
    <t>pfy</t>
  </si>
  <si>
    <t>phg</t>
  </si>
  <si>
    <t>phx</t>
  </si>
  <si>
    <t>pio</t>
  </si>
  <si>
    <t>pjf</t>
  </si>
  <si>
    <t>pjw</t>
  </si>
  <si>
    <t>pkn</t>
  </si>
  <si>
    <t>ple</t>
  </si>
  <si>
    <t>plv</t>
  </si>
  <si>
    <t>pmm</t>
  </si>
  <si>
    <t>pnd</t>
  </si>
  <si>
    <t>pnu</t>
  </si>
  <si>
    <t>pol</t>
  </si>
  <si>
    <t>ppt</t>
  </si>
  <si>
    <t>pqk</t>
  </si>
  <si>
    <t>prb</t>
  </si>
  <si>
    <t>prs</t>
  </si>
  <si>
    <t>psj</t>
  </si>
  <si>
    <t>pta</t>
  </si>
  <si>
    <t>ptr</t>
  </si>
  <si>
    <t>pui</t>
  </si>
  <si>
    <t>puz</t>
  </si>
  <si>
    <t>pvq</t>
  </si>
  <si>
    <t>pwh</t>
  </si>
  <si>
    <t>pwy</t>
  </si>
  <si>
    <t>pyg</t>
  </si>
  <si>
    <t>pyx</t>
  </si>
  <si>
    <t>pzo</t>
  </si>
  <si>
    <t>qaf</t>
  </si>
  <si>
    <t>qaw</t>
  </si>
  <si>
    <t>qbn</t>
  </si>
  <si>
    <t>qce</t>
  </si>
  <si>
    <t>qcv</t>
  </si>
  <si>
    <t>qdm</t>
  </si>
  <si>
    <t>qed</t>
  </si>
  <si>
    <t>qeu</t>
  </si>
  <si>
    <t>qfl</t>
  </si>
  <si>
    <t>qgt</t>
  </si>
  <si>
    <t>qhk</t>
  </si>
  <si>
    <t>qib</t>
  </si>
  <si>
    <t>qis</t>
  </si>
  <si>
    <t>qjj</t>
  </si>
  <si>
    <t>qka</t>
  </si>
  <si>
    <t>qkr</t>
  </si>
  <si>
    <t>qli</t>
  </si>
  <si>
    <t>qlz</t>
  </si>
  <si>
    <t>qmq</t>
  </si>
  <si>
    <t>qnh</t>
  </si>
  <si>
    <t>qny</t>
  </si>
  <si>
    <t>qpg</t>
  </si>
  <si>
    <t>qpx</t>
  </si>
  <si>
    <t>qqo</t>
  </si>
  <si>
    <t>qrf</t>
  </si>
  <si>
    <t>qrw</t>
  </si>
  <si>
    <t>qsn</t>
  </si>
  <si>
    <t>qte</t>
  </si>
  <si>
    <t>qtv</t>
  </si>
  <si>
    <t>qum</t>
  </si>
  <si>
    <t>qvd</t>
  </si>
  <si>
    <t>qvu</t>
  </si>
  <si>
    <t>qwl</t>
  </si>
  <si>
    <t>qxt</t>
  </si>
  <si>
    <t>qyk</t>
  </si>
  <si>
    <t>qzb</t>
  </si>
  <si>
    <t>qzs</t>
  </si>
  <si>
    <t>raj</t>
  </si>
  <si>
    <t>rba</t>
  </si>
  <si>
    <t>rbr</t>
  </si>
  <si>
    <t>rci</t>
  </si>
  <si>
    <t>rcz</t>
  </si>
  <si>
    <t>rdq</t>
  </si>
  <si>
    <t>reh</t>
  </si>
  <si>
    <t>rey</t>
  </si>
  <si>
    <t>rgg</t>
  </si>
  <si>
    <t>rgx</t>
  </si>
  <si>
    <t>rho</t>
  </si>
  <si>
    <t>rif</t>
  </si>
  <si>
    <t>riw</t>
  </si>
  <si>
    <t>rjn</t>
  </si>
  <si>
    <t>rke</t>
  </si>
  <si>
    <t>rkv</t>
  </si>
  <si>
    <t>rlm</t>
  </si>
  <si>
    <t>rmd</t>
  </si>
  <si>
    <t>rmu</t>
  </si>
  <si>
    <t>rnl</t>
  </si>
  <si>
    <t>rot</t>
  </si>
  <si>
    <t>rpk</t>
  </si>
  <si>
    <t>rqb</t>
  </si>
  <si>
    <t>rqs</t>
  </si>
  <si>
    <t>rrj</t>
  </si>
  <si>
    <t>rsa</t>
  </si>
  <si>
    <t>rsr</t>
  </si>
  <si>
    <t>rti</t>
  </si>
  <si>
    <t>rtz</t>
  </si>
  <si>
    <t>ruq</t>
  </si>
  <si>
    <t>rvh</t>
  </si>
  <si>
    <t>rvy</t>
  </si>
  <si>
    <t>rxg</t>
  </si>
  <si>
    <t>rxx</t>
  </si>
  <si>
    <t>ryo</t>
  </si>
  <si>
    <t>rzf</t>
  </si>
  <si>
    <t>rzw</t>
  </si>
  <si>
    <t>san</t>
  </si>
  <si>
    <t>sbe</t>
  </si>
  <si>
    <t>sbv</t>
  </si>
  <si>
    <t>scm</t>
  </si>
  <si>
    <t>sdd</t>
  </si>
  <si>
    <t>sdu</t>
  </si>
  <si>
    <t>sel</t>
  </si>
  <si>
    <t>sft</t>
  </si>
  <si>
    <t>sgk</t>
  </si>
  <si>
    <t>shb</t>
  </si>
  <si>
    <t>shs</t>
  </si>
  <si>
    <t>sij</t>
  </si>
  <si>
    <t>sja</t>
  </si>
  <si>
    <t>sjr</t>
  </si>
  <si>
    <t>ski</t>
  </si>
  <si>
    <t>skz</t>
  </si>
  <si>
    <t>slq</t>
  </si>
  <si>
    <t>smh</t>
  </si>
  <si>
    <t>smy</t>
  </si>
  <si>
    <t>sog</t>
  </si>
  <si>
    <t>sox</t>
  </si>
  <si>
    <t>spo</t>
  </si>
  <si>
    <t>sqf</t>
  </si>
  <si>
    <t>sqw</t>
  </si>
  <si>
    <t>srn</t>
  </si>
  <si>
    <t>sse</t>
  </si>
  <si>
    <t>ssv</t>
  </si>
  <si>
    <t>stm</t>
  </si>
  <si>
    <t>sud</t>
  </si>
  <si>
    <t>suu</t>
  </si>
  <si>
    <t>svl</t>
  </si>
  <si>
    <t>swt</t>
  </si>
  <si>
    <t>sxk</t>
  </si>
  <si>
    <t>syb</t>
  </si>
  <si>
    <t>sys</t>
  </si>
  <si>
    <t>szj</t>
  </si>
  <si>
    <t>taa</t>
  </si>
  <si>
    <t>tar</t>
  </si>
  <si>
    <t>tbi</t>
  </si>
  <si>
    <t>tbz</t>
  </si>
  <si>
    <t>tcq</t>
  </si>
  <si>
    <t>tdh</t>
  </si>
  <si>
    <t>tdy</t>
  </si>
  <si>
    <t>tfg</t>
  </si>
  <si>
    <t>tfx</t>
  </si>
  <si>
    <t>tgo</t>
  </si>
  <si>
    <t>thf</t>
  </si>
  <si>
    <t>thw</t>
  </si>
  <si>
    <t>tin</t>
  </si>
  <si>
    <t>tje</t>
  </si>
  <si>
    <t>tjv</t>
  </si>
  <si>
    <t>tkm</t>
  </si>
  <si>
    <t>tld</t>
  </si>
  <si>
    <t>tlu</t>
  </si>
  <si>
    <t>tml</t>
  </si>
  <si>
    <t>tnt</t>
  </si>
  <si>
    <t>tok</t>
  </si>
  <si>
    <t>tpb</t>
  </si>
  <si>
    <t>tps</t>
  </si>
  <si>
    <t>tqj</t>
  </si>
  <si>
    <t>tra</t>
  </si>
  <si>
    <t>trr</t>
  </si>
  <si>
    <t>tsi</t>
  </si>
  <si>
    <t>tsz</t>
  </si>
  <si>
    <t>ttq</t>
  </si>
  <si>
    <t>tuh</t>
  </si>
  <si>
    <t>tuy</t>
  </si>
  <si>
    <t>twg</t>
  </si>
  <si>
    <t>twx</t>
  </si>
  <si>
    <t>txo</t>
  </si>
  <si>
    <t>tyf</t>
  </si>
  <si>
    <t>tyw</t>
  </si>
  <si>
    <t>tzn</t>
  </si>
  <si>
    <t>uae</t>
  </si>
  <si>
    <t>uav</t>
  </si>
  <si>
    <t>ubm</t>
  </si>
  <si>
    <t>ucd</t>
  </si>
  <si>
    <t>ucu</t>
  </si>
  <si>
    <t>udl</t>
  </si>
  <si>
    <t>uet</t>
  </si>
  <si>
    <t>ufk</t>
  </si>
  <si>
    <t>ugb</t>
  </si>
  <si>
    <t>ugs</t>
  </si>
  <si>
    <t>uhj</t>
  </si>
  <si>
    <t>uia</t>
  </si>
  <si>
    <t>uir</t>
  </si>
  <si>
    <t>uji</t>
  </si>
  <si>
    <t>ujz</t>
  </si>
  <si>
    <t>ukq</t>
  </si>
  <si>
    <t>ulh</t>
  </si>
  <si>
    <t>uly</t>
  </si>
  <si>
    <t>ung</t>
  </si>
  <si>
    <t>unx</t>
  </si>
  <si>
    <t>uoo</t>
  </si>
  <si>
    <t>upf</t>
  </si>
  <si>
    <t>upw</t>
  </si>
  <si>
    <t>uqn</t>
  </si>
  <si>
    <t>ure</t>
  </si>
  <si>
    <t>urv</t>
  </si>
  <si>
    <t>usm</t>
  </si>
  <si>
    <t>utd</t>
  </si>
  <si>
    <t>utu</t>
  </si>
  <si>
    <t>uul</t>
  </si>
  <si>
    <t>uvt</t>
  </si>
  <si>
    <t>uwk</t>
  </si>
  <si>
    <t>uxb</t>
  </si>
  <si>
    <t>uxs</t>
  </si>
  <si>
    <t>uyj</t>
  </si>
  <si>
    <t>uza</t>
  </si>
  <si>
    <t>uzr</t>
  </si>
  <si>
    <t>vai</t>
  </si>
  <si>
    <t>vaz</t>
  </si>
  <si>
    <t>vbq</t>
  </si>
  <si>
    <t>vch</t>
  </si>
  <si>
    <t>vcy</t>
  </si>
  <si>
    <t>veg</t>
  </si>
  <si>
    <t>vex</t>
  </si>
  <si>
    <t>vfo</t>
  </si>
  <si>
    <t>vgf</t>
  </si>
  <si>
    <t>vgw</t>
  </si>
  <si>
    <t>vhn</t>
  </si>
  <si>
    <t>vie</t>
  </si>
  <si>
    <t>viv</t>
  </si>
  <si>
    <t>vjm</t>
  </si>
  <si>
    <t>vkd</t>
  </si>
  <si>
    <t>vku</t>
  </si>
  <si>
    <t>vll</t>
  </si>
  <si>
    <t>vmt</t>
  </si>
  <si>
    <t>vnk</t>
  </si>
  <si>
    <t>vob</t>
  </si>
  <si>
    <t>vos</t>
  </si>
  <si>
    <t>vpj</t>
  </si>
  <si>
    <t>vqa</t>
  </si>
  <si>
    <t>vqr</t>
  </si>
  <si>
    <t>vri</t>
  </si>
  <si>
    <t>vrz</t>
  </si>
  <si>
    <t>vsq</t>
  </si>
  <si>
    <t>vth</t>
  </si>
  <si>
    <t>vty</t>
  </si>
  <si>
    <t>vvg</t>
  </si>
  <si>
    <t>vvx</t>
  </si>
  <si>
    <t>vwo</t>
  </si>
  <si>
    <t>vxf</t>
  </si>
  <si>
    <t>vxw</t>
  </si>
  <si>
    <t>vyn</t>
  </si>
  <si>
    <t>vze</t>
  </si>
  <si>
    <t>vzv</t>
  </si>
  <si>
    <t>wam</t>
  </si>
  <si>
    <t>wbd</t>
  </si>
  <si>
    <t>wbu</t>
  </si>
  <si>
    <t>wcl</t>
  </si>
  <si>
    <t>wdt</t>
  </si>
  <si>
    <t>wek</t>
  </si>
  <si>
    <t>wfb</t>
  </si>
  <si>
    <t>wfs</t>
  </si>
  <si>
    <t>wgj</t>
  </si>
  <si>
    <t>wha</t>
  </si>
  <si>
    <t>whr</t>
  </si>
  <si>
    <t>wii</t>
  </si>
  <si>
    <t>wiz</t>
  </si>
  <si>
    <t>wjq</t>
  </si>
  <si>
    <t>wkh</t>
  </si>
  <si>
    <t>wky</t>
  </si>
  <si>
    <t>wmg</t>
  </si>
  <si>
    <t>wmx</t>
  </si>
  <si>
    <t>wno</t>
  </si>
  <si>
    <t>wof</t>
  </si>
  <si>
    <t>wow</t>
  </si>
  <si>
    <t>wpn</t>
  </si>
  <si>
    <t>wqe</t>
  </si>
  <si>
    <t>wqv</t>
  </si>
  <si>
    <t>wrm</t>
  </si>
  <si>
    <t>wsd</t>
  </si>
  <si>
    <t>wsu</t>
  </si>
  <si>
    <t>wtl</t>
  </si>
  <si>
    <t>wut</t>
  </si>
  <si>
    <t>wvk</t>
  </si>
  <si>
    <t>wwb</t>
  </si>
  <si>
    <t>wws</t>
  </si>
  <si>
    <t>wxj</t>
  </si>
  <si>
    <t>wya</t>
  </si>
  <si>
    <t>wyr</t>
  </si>
  <si>
    <t>wzi</t>
  </si>
  <si>
    <t>wzz</t>
  </si>
  <si>
    <t>xaq</t>
  </si>
  <si>
    <t>xbh</t>
  </si>
  <si>
    <t>xby</t>
  </si>
  <si>
    <t>xdg</t>
  </si>
  <si>
    <t>xdx</t>
  </si>
  <si>
    <t>xeo</t>
  </si>
  <si>
    <t>xff</t>
  </si>
  <si>
    <t>xfw</t>
  </si>
  <si>
    <t>xgn</t>
  </si>
  <si>
    <t>xhe</t>
  </si>
  <si>
    <t>xhv</t>
  </si>
  <si>
    <t>xim</t>
  </si>
  <si>
    <t>xjd</t>
  </si>
  <si>
    <t>xju</t>
  </si>
  <si>
    <t>xkl</t>
  </si>
  <si>
    <t>xlt</t>
  </si>
  <si>
    <t>xmk</t>
  </si>
  <si>
    <t>xnb</t>
  </si>
  <si>
    <t>xns</t>
  </si>
  <si>
    <t>xoj</t>
  </si>
  <si>
    <t>xpa</t>
  </si>
  <si>
    <t>xpr</t>
  </si>
  <si>
    <t>xqi</t>
  </si>
  <si>
    <t>xqz</t>
  </si>
  <si>
    <t>xrq</t>
  </si>
  <si>
    <t>xsh</t>
  </si>
  <si>
    <t>xsy</t>
  </si>
  <si>
    <t>xug</t>
  </si>
  <si>
    <t>xux</t>
  </si>
  <si>
    <t>xvo</t>
  </si>
  <si>
    <t>xwf</t>
  </si>
  <si>
    <t>xww</t>
  </si>
  <si>
    <t>xxn</t>
  </si>
  <si>
    <t>xye</t>
  </si>
  <si>
    <t>xyv</t>
  </si>
  <si>
    <t>xzm</t>
  </si>
  <si>
    <t>yad</t>
  </si>
  <si>
    <t>yau</t>
  </si>
  <si>
    <t>ybl</t>
  </si>
  <si>
    <t>yct</t>
  </si>
  <si>
    <t>ydk</t>
  </si>
  <si>
    <t>yeb</t>
  </si>
  <si>
    <t>yes</t>
  </si>
  <si>
    <t>yfj</t>
  </si>
  <si>
    <t>yga</t>
  </si>
  <si>
    <t>ygr</t>
  </si>
  <si>
    <t>yhi</t>
  </si>
  <si>
    <t>yhz</t>
  </si>
  <si>
    <t>yiq</t>
  </si>
  <si>
    <t>yjh</t>
  </si>
  <si>
    <t>yjy</t>
  </si>
  <si>
    <t>ylg</t>
  </si>
  <si>
    <t>ylx</t>
  </si>
  <si>
    <t>ymo</t>
  </si>
  <si>
    <t>ynf</t>
  </si>
  <si>
    <t>ynw</t>
  </si>
  <si>
    <t>yon</t>
  </si>
  <si>
    <t>ype</t>
  </si>
  <si>
    <t>ypv</t>
  </si>
  <si>
    <t>yqm</t>
  </si>
  <si>
    <t>yrd</t>
  </si>
  <si>
    <t>yru</t>
  </si>
  <si>
    <t>ysl</t>
  </si>
  <si>
    <t>ytt</t>
  </si>
  <si>
    <t>yuk</t>
  </si>
  <si>
    <t>yvb</t>
  </si>
  <si>
    <t>yvs</t>
  </si>
  <si>
    <t>ywj</t>
  </si>
  <si>
    <t>yxa</t>
  </si>
  <si>
    <t>yxr</t>
  </si>
  <si>
    <t>yyi</t>
  </si>
  <si>
    <t>yyz</t>
  </si>
  <si>
    <t>yzq</t>
  </si>
  <si>
    <t>zah</t>
  </si>
  <si>
    <t>zay</t>
  </si>
  <si>
    <t>zcg</t>
  </si>
  <si>
    <t>zcx</t>
  </si>
  <si>
    <t>zdo</t>
  </si>
  <si>
    <t>zef</t>
  </si>
  <si>
    <t>zew</t>
  </si>
  <si>
    <t>zfn</t>
  </si>
  <si>
    <t>zge</t>
  </si>
  <si>
    <t>zgv</t>
  </si>
  <si>
    <t>zhm</t>
  </si>
  <si>
    <t>zid</t>
  </si>
  <si>
    <t>ziu</t>
  </si>
  <si>
    <t>zjl</t>
  </si>
  <si>
    <t>zkt</t>
  </si>
  <si>
    <t>zlk</t>
  </si>
  <si>
    <t>zmb</t>
  </si>
  <si>
    <t>zms</t>
  </si>
  <si>
    <t>znj</t>
  </si>
  <si>
    <t>Daily Scheduler</t>
    <phoneticPr fontId="4" type="noConversion"/>
  </si>
  <si>
    <t>Words</t>
    <phoneticPr fontId="12" type="noConversion"/>
  </si>
  <si>
    <t>Cache Aside Pattern</t>
    <phoneticPr fontId="12" type="noConversion"/>
  </si>
  <si>
    <t>modules</t>
    <phoneticPr fontId="12" type="noConversion"/>
  </si>
  <si>
    <t>chmod</t>
    <phoneticPr fontId="12" type="noConversion"/>
  </si>
  <si>
    <t>free</t>
    <phoneticPr fontId="12" type="noConversion"/>
  </si>
  <si>
    <t>pipelines</t>
    <phoneticPr fontId="12" type="noConversion"/>
  </si>
  <si>
    <t>On Java 8</t>
    <phoneticPr fontId="4" type="noConversion"/>
  </si>
  <si>
    <t>Spring in Action</t>
    <phoneticPr fontId="4" type="noConversion"/>
  </si>
  <si>
    <t>Spring Boot in Action</t>
    <phoneticPr fontId="4" type="noConversion"/>
  </si>
  <si>
    <t>Spring Microservices in Action</t>
    <phoneticPr fontId="4" type="noConversion"/>
  </si>
  <si>
    <t>repository</t>
    <phoneticPr fontId="12" type="noConversion"/>
  </si>
  <si>
    <t>yum list</t>
    <phoneticPr fontId="12" type="noConversion"/>
  </si>
  <si>
    <t>setopt: obsoletes</t>
    <phoneticPr fontId="12" type="noConversion"/>
  </si>
  <si>
    <t>cgroup driver</t>
    <phoneticPr fontId="12" type="noConversion"/>
  </si>
  <si>
    <t>no_source -&gt; computer</t>
    <phoneticPr fontId="12" type="noConversion"/>
  </si>
  <si>
    <t>Workbench</t>
    <phoneticPr fontId="4" type="noConversion"/>
  </si>
  <si>
    <t>枪与玫瑰的使用方法</t>
    <phoneticPr fontId="12" type="noConversion"/>
  </si>
  <si>
    <t>Coursera</t>
    <phoneticPr fontId="4" type="noConversion"/>
  </si>
  <si>
    <t>cgroupfs</t>
    <phoneticPr fontId="12" type="noConversion"/>
  </si>
  <si>
    <t>systemd</t>
    <phoneticPr fontId="12" type="noConversion"/>
  </si>
  <si>
    <t>kubectl</t>
    <phoneticPr fontId="12" type="noConversion"/>
  </si>
  <si>
    <t>COS</t>
    <phoneticPr fontId="12" type="noConversion"/>
  </si>
  <si>
    <t>SSE-COS</t>
    <phoneticPr fontId="12" type="noConversion"/>
  </si>
  <si>
    <t>古代汉语（校订重排本）</t>
    <phoneticPr fontId="12" type="noConversion"/>
  </si>
  <si>
    <t>find</t>
    <phoneticPr fontId="12" type="noConversion"/>
  </si>
  <si>
    <t>白色巨塔(上)</t>
    <phoneticPr fontId="12" type="noConversion"/>
  </si>
  <si>
    <t>白色巨塔(中)</t>
    <phoneticPr fontId="12" type="noConversion"/>
  </si>
  <si>
    <t>白色巨塔(下)</t>
    <phoneticPr fontId="12" type="noConversion"/>
  </si>
  <si>
    <t>mkdir</t>
    <phoneticPr fontId="12" type="noConversion"/>
  </si>
  <si>
    <t>CAS Lock</t>
    <phoneticPr fontId="12" type="noConversion"/>
  </si>
  <si>
    <t>remote</t>
    <phoneticPr fontId="12" type="noConversion"/>
  </si>
  <si>
    <t>我们的未来</t>
    <phoneticPr fontId="12" type="noConversion"/>
  </si>
  <si>
    <t>cassette</t>
    <phoneticPr fontId="12" type="noConversion"/>
  </si>
  <si>
    <t>英雄美人1</t>
    <phoneticPr fontId="12" type="noConversion"/>
  </si>
  <si>
    <t>cassette -&gt; emo</t>
    <phoneticPr fontId="12" type="noConversion"/>
  </si>
  <si>
    <t>Cache</t>
    <phoneticPr fontId="12" type="noConversion"/>
  </si>
  <si>
    <t>Hotsopt Keys</t>
    <phoneticPr fontId="12" type="noConversion"/>
  </si>
  <si>
    <t>zoo</t>
    <phoneticPr fontId="4" type="noConversion"/>
  </si>
  <si>
    <t>Apache Thrift</t>
    <phoneticPr fontId="12" type="noConversion"/>
  </si>
  <si>
    <t>Airbyte</t>
    <phoneticPr fontId="12" type="noConversion"/>
  </si>
  <si>
    <t>Knative</t>
    <phoneticPr fontId="12" type="noConversion"/>
  </si>
  <si>
    <t>Distributed Session</t>
    <phoneticPr fontId="12" type="noConversion"/>
  </si>
  <si>
    <t>Struts</t>
    <phoneticPr fontId="12" type="noConversion"/>
  </si>
  <si>
    <t>OCP</t>
    <phoneticPr fontId="12" type="noConversion"/>
  </si>
  <si>
    <t>OCM</t>
    <phoneticPr fontId="12" type="noConversion"/>
  </si>
  <si>
    <t>Certification</t>
    <phoneticPr fontId="12" type="noConversion"/>
  </si>
  <si>
    <t>Power Platform</t>
    <phoneticPr fontId="12" type="noConversion"/>
  </si>
  <si>
    <t>EC2</t>
    <phoneticPr fontId="12" type="noConversion"/>
  </si>
  <si>
    <t>Maven</t>
    <phoneticPr fontId="4" type="noConversion"/>
  </si>
  <si>
    <t>Domain Driven Deisgn</t>
    <phoneticPr fontId="12" type="noConversion"/>
  </si>
  <si>
    <t>Versioning</t>
    <phoneticPr fontId="12" type="noConversion"/>
  </si>
  <si>
    <t>Logback</t>
    <phoneticPr fontId="12" type="noConversion"/>
  </si>
  <si>
    <t>Instrumentation</t>
    <phoneticPr fontId="12" type="noConversion"/>
  </si>
  <si>
    <t>agent</t>
    <phoneticPr fontId="12" type="noConversion"/>
  </si>
  <si>
    <t>Serialization</t>
    <phoneticPr fontId="12" type="noConversion"/>
  </si>
  <si>
    <t>Hessian</t>
    <phoneticPr fontId="12" type="noConversion"/>
  </si>
  <si>
    <t>Protobuf</t>
    <phoneticPr fontId="12" type="noConversion"/>
  </si>
  <si>
    <t>Load Balance Policies</t>
    <phoneticPr fontId="12" type="noConversion"/>
  </si>
  <si>
    <t>High Availability Policies</t>
    <phoneticPr fontId="12" type="noConversion"/>
  </si>
  <si>
    <t>SPI</t>
    <phoneticPr fontId="12" type="noConversion"/>
  </si>
  <si>
    <t>Service Governance</t>
    <phoneticPr fontId="12" type="noConversion"/>
  </si>
  <si>
    <t>黎东方讲史系列</t>
    <phoneticPr fontId="12" type="noConversion"/>
  </si>
  <si>
    <t>Code Review</t>
    <phoneticPr fontId="12" type="noConversion"/>
  </si>
  <si>
    <t>Dataiku</t>
    <phoneticPr fontId="12" type="noConversion"/>
  </si>
  <si>
    <t>apt-get</t>
    <phoneticPr fontId="12" type="noConversion"/>
  </si>
  <si>
    <t>Build Version</t>
    <phoneticPr fontId="12" type="noConversion"/>
  </si>
  <si>
    <t>跨机房多集群同步</t>
    <phoneticPr fontId="12" type="noConversion"/>
  </si>
  <si>
    <t>架构师</t>
    <phoneticPr fontId="12" type="noConversion"/>
  </si>
  <si>
    <t>New Words</t>
    <phoneticPr fontId="4" type="noConversion"/>
  </si>
  <si>
    <t>Words Roller</t>
    <phoneticPr fontId="4" type="noConversion"/>
  </si>
  <si>
    <t>Logstash</t>
    <phoneticPr fontId="12" type="noConversion"/>
  </si>
  <si>
    <t>XXL-JOB</t>
    <phoneticPr fontId="12" type="noConversion"/>
  </si>
  <si>
    <t>Mathematics</t>
    <phoneticPr fontId="12" type="noConversion"/>
  </si>
  <si>
    <t>最后一个人类</t>
    <phoneticPr fontId="12" type="noConversion"/>
  </si>
  <si>
    <t>Major Stashes</t>
    <phoneticPr fontId="4" type="noConversion"/>
  </si>
  <si>
    <t>Wallpapers</t>
    <phoneticPr fontId="4" type="noConversion"/>
  </si>
  <si>
    <t>斯蒂芬金作品·精装</t>
    <phoneticPr fontId="12" type="noConversion"/>
  </si>
  <si>
    <t>special -&gt; regular</t>
    <phoneticPr fontId="12" type="noConversion"/>
  </si>
  <si>
    <t>Emo Roller</t>
    <phoneticPr fontId="4" type="noConversion"/>
  </si>
  <si>
    <t>Resource Management</t>
    <phoneticPr fontId="12" type="noConversion"/>
  </si>
  <si>
    <t>X.509</t>
    <phoneticPr fontId="12" type="noConversion"/>
  </si>
  <si>
    <t>Health Check</t>
    <phoneticPr fontId="12" type="noConversion"/>
  </si>
  <si>
    <t>CoreDNS</t>
    <phoneticPr fontId="12" type="noConversion"/>
  </si>
  <si>
    <t>helm</t>
    <phoneticPr fontId="12" type="noConversion"/>
  </si>
  <si>
    <t>merge</t>
    <phoneticPr fontId="12" type="noConversion"/>
  </si>
  <si>
    <t>rebase</t>
    <phoneticPr fontId="12" type="noConversion"/>
  </si>
  <si>
    <t>fast-forward</t>
    <phoneticPr fontId="12" type="noConversion"/>
  </si>
  <si>
    <t>Spring Data</t>
    <phoneticPr fontId="12" type="noConversion"/>
  </si>
  <si>
    <t>Spring Framework</t>
    <phoneticPr fontId="12" type="noConversion"/>
  </si>
  <si>
    <t>Spring Integration</t>
    <phoneticPr fontId="12" type="noConversion"/>
  </si>
  <si>
    <t>Spring Batch</t>
    <phoneticPr fontId="12" type="noConversion"/>
  </si>
  <si>
    <t>Microservices</t>
    <phoneticPr fontId="12" type="noConversion"/>
  </si>
  <si>
    <t>Spring Native</t>
    <phoneticPr fontId="12" type="noConversion"/>
  </si>
  <si>
    <t>GraalVM</t>
    <phoneticPr fontId="12" type="noConversion"/>
  </si>
  <si>
    <t>世界名著名译文库</t>
    <phoneticPr fontId="12" type="noConversion"/>
  </si>
  <si>
    <t>知更鸟</t>
    <phoneticPr fontId="12" type="noConversion"/>
  </si>
  <si>
    <t>老人与海</t>
    <phoneticPr fontId="12" type="noConversion"/>
  </si>
  <si>
    <t>Kryo</t>
    <phoneticPr fontId="12" type="noConversion"/>
  </si>
  <si>
    <t>SOAP</t>
    <phoneticPr fontId="12" type="noConversion"/>
  </si>
  <si>
    <t>HttpInvoker</t>
    <phoneticPr fontId="12" type="noConversion"/>
  </si>
  <si>
    <t>Namespace</t>
    <phoneticPr fontId="12" type="noConversion"/>
  </si>
  <si>
    <t>flannel</t>
    <phoneticPr fontId="12" type="noConversion"/>
  </si>
  <si>
    <t>Pause Container</t>
    <phoneticPr fontId="12" type="noConversion"/>
  </si>
  <si>
    <t>知乎周刊·新技能 get√</t>
    <phoneticPr fontId="12" type="noConversion"/>
  </si>
  <si>
    <t>Service Discovery</t>
    <phoneticPr fontId="12" type="noConversion"/>
  </si>
  <si>
    <t>Service Registry</t>
    <phoneticPr fontId="12" type="noConversion"/>
  </si>
  <si>
    <t>Fault Tolerance</t>
    <phoneticPr fontId="12" type="noConversion"/>
  </si>
  <si>
    <t>Apache CXF</t>
    <phoneticPr fontId="12" type="noConversion"/>
  </si>
  <si>
    <t>Simple Frontend</t>
    <phoneticPr fontId="12" type="noConversion"/>
  </si>
  <si>
    <t>HTTP Transport</t>
    <phoneticPr fontId="12" type="noConversion"/>
  </si>
  <si>
    <t>gRPC</t>
    <phoneticPr fontId="12" type="noConversion"/>
  </si>
  <si>
    <t>HTTP/2</t>
    <phoneticPr fontId="12" type="noConversion"/>
  </si>
  <si>
    <t>Stream</t>
    <phoneticPr fontId="12" type="noConversion"/>
  </si>
  <si>
    <t>Back Pressure</t>
    <phoneticPr fontId="12" type="noConversion"/>
  </si>
  <si>
    <t>光芒</t>
    <phoneticPr fontId="12" type="noConversion"/>
  </si>
  <si>
    <t>新黑暗时代</t>
    <phoneticPr fontId="12" type="noConversion"/>
  </si>
  <si>
    <t>Label</t>
    <phoneticPr fontId="12" type="noConversion"/>
  </si>
  <si>
    <t>知乎周刊·坍缩</t>
    <phoneticPr fontId="12" type="noConversion"/>
  </si>
  <si>
    <t>Deployment</t>
    <phoneticPr fontId="12" type="noConversion"/>
  </si>
  <si>
    <t>Swagger</t>
    <phoneticPr fontId="12" type="noConversion"/>
  </si>
  <si>
    <t>STACK</t>
    <phoneticPr fontId="12" type="noConversion"/>
  </si>
  <si>
    <t>Grafana</t>
    <phoneticPr fontId="12" type="noConversion"/>
  </si>
  <si>
    <t>Prometheus</t>
    <phoneticPr fontId="12" type="noConversion"/>
  </si>
  <si>
    <t>Javassit</t>
    <phoneticPr fontId="12" type="noConversion"/>
  </si>
  <si>
    <t>page fault</t>
    <phoneticPr fontId="12" type="noConversion"/>
  </si>
  <si>
    <t>页错误</t>
    <phoneticPr fontId="12" type="noConversion"/>
  </si>
  <si>
    <t>Undertow</t>
    <phoneticPr fontId="12" type="noConversion"/>
  </si>
  <si>
    <t>Web Server</t>
    <phoneticPr fontId="12" type="noConversion"/>
  </si>
  <si>
    <t>Healthcare</t>
    <phoneticPr fontId="12" type="noConversion"/>
  </si>
  <si>
    <t>namespace</t>
    <phoneticPr fontId="12" type="noConversion"/>
  </si>
  <si>
    <t>CI</t>
    <phoneticPr fontId="12" type="noConversion"/>
  </si>
  <si>
    <t>Confidence Interval</t>
    <phoneticPr fontId="12" type="noConversion"/>
  </si>
  <si>
    <t>置信区间</t>
  </si>
  <si>
    <t>知乎观影团 | X战警：不说再见</t>
    <phoneticPr fontId="12" type="noConversion"/>
  </si>
  <si>
    <t>知乎周刊·樱花之语</t>
    <phoneticPr fontId="12" type="noConversion"/>
  </si>
  <si>
    <t>Video Learns</t>
    <phoneticPr fontId="12" type="noConversion"/>
  </si>
  <si>
    <t>Postgresql</t>
    <phoneticPr fontId="12" type="noConversion"/>
  </si>
  <si>
    <t>午夜降临前抵达</t>
    <phoneticPr fontId="12" type="noConversion"/>
  </si>
  <si>
    <t>pager</t>
    <phoneticPr fontId="12" type="noConversion"/>
  </si>
  <si>
    <t>more</t>
    <phoneticPr fontId="12" type="noConversion"/>
  </si>
  <si>
    <t>less</t>
    <phoneticPr fontId="12" type="noConversion"/>
  </si>
  <si>
    <t>BusyBox</t>
    <phoneticPr fontId="12" type="noConversion"/>
  </si>
  <si>
    <t>雪球专刊·赚钱那些事</t>
    <phoneticPr fontId="12" type="noConversion"/>
  </si>
  <si>
    <t>Image pull policy</t>
    <phoneticPr fontId="12" type="noConversion"/>
  </si>
  <si>
    <t>Exatly-Once Semantics</t>
    <phoneticPr fontId="12" type="noConversion"/>
  </si>
  <si>
    <t>Heroku</t>
    <phoneticPr fontId="12" type="noConversion"/>
  </si>
  <si>
    <t>S3</t>
    <phoneticPr fontId="12" type="noConversion"/>
  </si>
  <si>
    <t>Elastic Beanstalk</t>
    <phoneticPr fontId="12" type="noConversion"/>
  </si>
  <si>
    <t>Git</t>
    <phoneticPr fontId="4" type="noConversion"/>
  </si>
  <si>
    <t>Kafka</t>
    <phoneticPr fontId="4" type="noConversion"/>
  </si>
  <si>
    <t>Redis</t>
    <phoneticPr fontId="4" type="noConversion"/>
  </si>
  <si>
    <t>Docker</t>
    <phoneticPr fontId="4" type="noConversion"/>
  </si>
  <si>
    <t>Kubernetes</t>
    <phoneticPr fontId="4" type="noConversion"/>
  </si>
  <si>
    <t>dbt</t>
    <phoneticPr fontId="12" type="noConversion"/>
  </si>
  <si>
    <t>Secret</t>
    <phoneticPr fontId="12" type="noConversion"/>
  </si>
  <si>
    <t>SQL</t>
    <phoneticPr fontId="4" type="noConversion"/>
  </si>
  <si>
    <t>Command and args</t>
    <phoneticPr fontId="12" type="noConversion"/>
  </si>
  <si>
    <t>PostgreSQL</t>
    <phoneticPr fontId="4" type="noConversion"/>
  </si>
  <si>
    <t>韩语榜</t>
    <phoneticPr fontId="12" type="noConversion"/>
  </si>
  <si>
    <t>DATEDIFF</t>
    <phoneticPr fontId="12" type="noConversion"/>
  </si>
  <si>
    <t>Skopeo</t>
    <phoneticPr fontId="12" type="noConversion"/>
  </si>
  <si>
    <t>jQuery</t>
    <phoneticPr fontId="12" type="noConversion"/>
  </si>
  <si>
    <t>Shuttle Video</t>
    <phoneticPr fontId="12" type="noConversion"/>
  </si>
  <si>
    <t>Scheduled Learns</t>
    <phoneticPr fontId="12" type="noConversion"/>
  </si>
  <si>
    <t>Spring</t>
    <phoneticPr fontId="12" type="noConversion"/>
  </si>
  <si>
    <t>知乎周刊：原来你是这样的日剧</t>
    <phoneticPr fontId="12" type="noConversion"/>
  </si>
  <si>
    <t>分类</t>
    <phoneticPr fontId="12" type="noConversion"/>
  </si>
  <si>
    <t>2 Olds -&gt; 1 New</t>
    <phoneticPr fontId="12" type="noConversion"/>
  </si>
  <si>
    <t>待读</t>
    <phoneticPr fontId="12" type="noConversion"/>
  </si>
  <si>
    <t>Grimm's Fairy Tales (格林童话) (Kindle)</t>
    <phoneticPr fontId="12" type="noConversion"/>
  </si>
  <si>
    <t>Walden (Kindle)</t>
    <phoneticPr fontId="12" type="noConversion"/>
  </si>
  <si>
    <t>Jane Eyre (Kindle)</t>
    <phoneticPr fontId="12" type="noConversion"/>
  </si>
  <si>
    <t>Swann's Way (Kindle)</t>
    <phoneticPr fontId="12" type="noConversion"/>
  </si>
  <si>
    <t>Oliver Twist (雾都孤儿 ) (Kindle)</t>
    <phoneticPr fontId="12" type="noConversion"/>
  </si>
  <si>
    <t>Language An Introduction to the Study of Speech (Kindle)</t>
    <phoneticPr fontId="12" type="noConversion"/>
  </si>
  <si>
    <t>Wuthering Heights (呼啸山庄) (Kindle)</t>
    <phoneticPr fontId="12" type="noConversion"/>
  </si>
  <si>
    <t>Alice's Adventures in Wonderland HTML Edition (Kindle)</t>
    <phoneticPr fontId="12" type="noConversion"/>
  </si>
  <si>
    <t>Great Expectations (Kindle)</t>
    <phoneticPr fontId="12" type="noConversion"/>
  </si>
  <si>
    <t>The Devil's Dictionary (魔鬼辞典) (Kindle)</t>
    <phoneticPr fontId="12" type="noConversion"/>
  </si>
  <si>
    <t>最璀璨的银河——刘慈欣经典作品集 (Kindle)</t>
    <phoneticPr fontId="12" type="noConversion"/>
  </si>
  <si>
    <t>时间移民 (刘慈欣科幻系列) (Kindle)</t>
    <phoneticPr fontId="12" type="noConversion"/>
  </si>
  <si>
    <t>人人都爱经济学(第二版)(完整图文版) (Kindle)</t>
    <phoneticPr fontId="12" type="noConversion"/>
  </si>
  <si>
    <t>通俗天文学:和大师一起与宇宙对话 (Kindle)</t>
    <phoneticPr fontId="12" type="noConversion"/>
  </si>
  <si>
    <t>变态心理学.1(增订版) (你也是蘑菇吗？) (Kindle)</t>
    <phoneticPr fontId="12" type="noConversion"/>
  </si>
  <si>
    <t>秘密 (Kindle)</t>
    <phoneticPr fontId="12" type="noConversion"/>
  </si>
  <si>
    <t>知行合一王阳明(1472-1529) (Kindle)</t>
    <phoneticPr fontId="12" type="noConversion"/>
  </si>
  <si>
    <t>人间失格 (Kindle)</t>
    <phoneticPr fontId="12" type="noConversion"/>
  </si>
  <si>
    <t>风口上的猪——一本书看懂互联网金融 (Kindle)</t>
    <phoneticPr fontId="12" type="noConversion"/>
  </si>
  <si>
    <t>神探伽利略(Kindle)</t>
    <phoneticPr fontId="12" type="noConversion"/>
  </si>
  <si>
    <t>高城堡里的人 (Kindle)</t>
    <phoneticPr fontId="12" type="noConversion"/>
  </si>
  <si>
    <t>少数派报告 (Kindle)</t>
    <phoneticPr fontId="12" type="noConversion"/>
  </si>
  <si>
    <t>流吧！我的眼泪 (Kindle)</t>
    <phoneticPr fontId="12" type="noConversion"/>
  </si>
  <si>
    <t>尤比克 (Kindle)</t>
    <phoneticPr fontId="12" type="noConversion"/>
  </si>
  <si>
    <t>仿生人会梦见电子羊吗？ (Kindle)</t>
    <phoneticPr fontId="12" type="noConversion"/>
  </si>
  <si>
    <t>日本的逻辑 (Kindle)</t>
    <phoneticPr fontId="12" type="noConversion"/>
  </si>
  <si>
    <t>中国通史 (Kindle)</t>
    <phoneticPr fontId="12" type="noConversion"/>
  </si>
  <si>
    <t>国学知识大全 (Kindle)</t>
    <phoneticPr fontId="12" type="noConversion"/>
  </si>
  <si>
    <t>家，春，秋 (Kindle)</t>
    <phoneticPr fontId="12" type="noConversion"/>
  </si>
  <si>
    <t>牛棚杂忆 (Kindle)</t>
    <phoneticPr fontId="12" type="noConversion"/>
  </si>
  <si>
    <t>抗日战争的细节 (Kindle)</t>
    <phoneticPr fontId="12" type="noConversion"/>
  </si>
  <si>
    <t>战争与和平（上） (Kindle)</t>
    <phoneticPr fontId="12" type="noConversion"/>
  </si>
  <si>
    <t>战争与和平（下） (Kindle)</t>
    <phoneticPr fontId="12" type="noConversion"/>
  </si>
  <si>
    <t>战争论 (Kindle)</t>
    <phoneticPr fontId="12" type="noConversion"/>
  </si>
  <si>
    <t>如何控制自己的情绪 (Kindle)</t>
    <phoneticPr fontId="12" type="noConversion"/>
  </si>
  <si>
    <t>Service fallback</t>
    <phoneticPr fontId="12" type="noConversion"/>
  </si>
  <si>
    <t>Environment variable</t>
    <phoneticPr fontId="12" type="noConversion"/>
  </si>
  <si>
    <t>JavaBean Validation API</t>
    <phoneticPr fontId="12" type="noConversion"/>
  </si>
  <si>
    <t>Eclipse</t>
    <phoneticPr fontId="12" type="noConversion"/>
  </si>
  <si>
    <t>JIRA</t>
    <phoneticPr fontId="12" type="noConversion"/>
  </si>
  <si>
    <t>疯狂的程序员 (Kindle)</t>
    <phoneticPr fontId="12" type="noConversion"/>
  </si>
  <si>
    <t>印加帝国三部曲（全三册）</t>
  </si>
  <si>
    <t>Kafka</t>
    <phoneticPr fontId="12" type="noConversion"/>
  </si>
  <si>
    <t>WeChat</t>
    <phoneticPr fontId="12" type="noConversion"/>
  </si>
  <si>
    <t>Ports</t>
    <phoneticPr fontId="12" type="noConversion"/>
  </si>
  <si>
    <t>Headers</t>
    <phoneticPr fontId="12" type="noConversion"/>
  </si>
  <si>
    <t>Cross-Site Scripting (XSS)</t>
    <phoneticPr fontId="12" type="noConversion"/>
  </si>
  <si>
    <t>Cross-Site Request Forgery (CSRF)</t>
    <phoneticPr fontId="12" type="noConversion"/>
  </si>
  <si>
    <t>知乎周刊：每逢佳节胖三斤</t>
    <phoneticPr fontId="12" type="noConversion"/>
  </si>
  <si>
    <t>科学怪人——弗兰肯斯坦 (Kindle)</t>
    <phoneticPr fontId="12" type="noConversion"/>
  </si>
  <si>
    <t>太阳照在桑干河上(Kindle)</t>
    <phoneticPr fontId="12" type="noConversion"/>
  </si>
  <si>
    <t>办公室实用资治通鉴(Kindle)</t>
    <phoneticPr fontId="12" type="noConversion"/>
  </si>
  <si>
    <t>1856：纠结的大清、天国与列强 (Kindle)</t>
    <phoneticPr fontId="12" type="noConversion"/>
  </si>
  <si>
    <t>战争指导 (Kindle)</t>
    <phoneticPr fontId="12" type="noConversion"/>
  </si>
  <si>
    <t>办公室实用资治通鉴2 (Kindle)</t>
    <phoneticPr fontId="12" type="noConversion"/>
  </si>
  <si>
    <t>办公室实用“暴力美学” (Kindle)</t>
    <phoneticPr fontId="12" type="noConversion"/>
  </si>
  <si>
    <t>审判美国 (Kindle)</t>
    <phoneticPr fontId="12" type="noConversion"/>
  </si>
  <si>
    <t>包法利夫人 (Kindle)</t>
    <phoneticPr fontId="12" type="noConversion"/>
  </si>
  <si>
    <t>人性的弱点 (Kindle)</t>
    <phoneticPr fontId="12" type="noConversion"/>
  </si>
  <si>
    <t>基度山恩仇记 (Kindle)</t>
  </si>
  <si>
    <t>月亮和六便士 (Kindle)</t>
    <phoneticPr fontId="12" type="noConversion"/>
  </si>
  <si>
    <t>流浪地球 (Kindle)</t>
    <phoneticPr fontId="12" type="noConversion"/>
  </si>
  <si>
    <t>成为数据分析师 (Kindle)</t>
    <phoneticPr fontId="12" type="noConversion"/>
  </si>
  <si>
    <t>An Inquiry into the Nature and Causes of the Wealth of Nations (Kindle)</t>
    <phoneticPr fontId="12" type="noConversion"/>
  </si>
  <si>
    <t>武侠经典古龙作品大合集 (Kindle)</t>
    <phoneticPr fontId="12" type="noConversion"/>
  </si>
  <si>
    <t>福尔摩斯探案全集 (Kindle)</t>
    <phoneticPr fontId="12" type="noConversion"/>
  </si>
  <si>
    <t>CRLF</t>
    <phoneticPr fontId="12" type="noConversion"/>
  </si>
  <si>
    <t>Resources</t>
    <phoneticPr fontId="12" type="noConversion"/>
  </si>
  <si>
    <t>Idempotency</t>
    <phoneticPr fontId="12" type="noConversion"/>
  </si>
  <si>
    <t>奔腾年代</t>
    <phoneticPr fontId="12" type="noConversion"/>
  </si>
  <si>
    <t>Protocols</t>
    <phoneticPr fontId="12" type="noConversion"/>
  </si>
  <si>
    <t>sclerosis</t>
    <phoneticPr fontId="12" type="noConversion"/>
  </si>
  <si>
    <t>硬化(症)</t>
    <phoneticPr fontId="12" type="noConversion"/>
  </si>
  <si>
    <t>COPD</t>
    <phoneticPr fontId="12" type="noConversion"/>
  </si>
  <si>
    <t>Chronic Obstructive Pulmonary Disease</t>
    <phoneticPr fontId="12" type="noConversion"/>
  </si>
  <si>
    <t>慢性阻塞性肺病</t>
    <phoneticPr fontId="12" type="noConversion"/>
  </si>
  <si>
    <t>读客外国小说文库：艾萨克·阿西莫夫作品</t>
    <phoneticPr fontId="12" type="noConversion"/>
  </si>
  <si>
    <t>Programming Language</t>
    <phoneticPr fontId="12" type="noConversion"/>
  </si>
  <si>
    <t>Project Building</t>
    <phoneticPr fontId="12" type="noConversion"/>
  </si>
  <si>
    <t>Programming Pattern</t>
    <phoneticPr fontId="12" type="noConversion"/>
  </si>
  <si>
    <t>Concurrency Framework</t>
    <phoneticPr fontId="12" type="noConversion"/>
  </si>
  <si>
    <t>Release</t>
    <phoneticPr fontId="12" type="noConversion"/>
  </si>
  <si>
    <t>zsh</t>
    <phoneticPr fontId="12" type="noConversion"/>
  </si>
  <si>
    <t>PROMPT_EOL_MARK</t>
    <phoneticPr fontId="12" type="noConversion"/>
  </si>
  <si>
    <t>Shell parameters</t>
    <phoneticPr fontId="12" type="noConversion"/>
  </si>
  <si>
    <t>JShell</t>
    <phoneticPr fontId="12" type="noConversion"/>
  </si>
  <si>
    <t>Init containers</t>
    <phoneticPr fontId="12" type="noConversion"/>
  </si>
  <si>
    <t>Lifecycle</t>
    <phoneticPr fontId="12" type="noConversion"/>
  </si>
  <si>
    <t>ChatGPT</t>
    <phoneticPr fontId="12" type="noConversion"/>
  </si>
  <si>
    <t>Copilot</t>
    <phoneticPr fontId="12" type="noConversion"/>
  </si>
  <si>
    <t>Roller Stash</t>
    <phoneticPr fontId="12" type="noConversion"/>
  </si>
  <si>
    <t>Spring AI</t>
    <phoneticPr fontId="12" type="noConversion"/>
  </si>
  <si>
    <t>Log4j2</t>
    <phoneticPr fontId="12" type="noConversion"/>
  </si>
  <si>
    <t>slf4j</t>
    <phoneticPr fontId="12" type="noConversion"/>
  </si>
  <si>
    <t>HikariCP</t>
    <phoneticPr fontId="12" type="noConversion"/>
  </si>
  <si>
    <t>Commons DBCP</t>
    <phoneticPr fontId="12" type="noConversion"/>
  </si>
  <si>
    <t>JDBC Pool</t>
    <phoneticPr fontId="12" type="noConversion"/>
  </si>
  <si>
    <t>JNDI</t>
    <phoneticPr fontId="12" type="noConversion"/>
  </si>
  <si>
    <t>Resilience4j</t>
    <phoneticPr fontId="12" type="noConversion"/>
  </si>
  <si>
    <r>
      <rPr>
        <sz val="9"/>
        <color theme="1"/>
        <rFont val="Microsoft YaHei"/>
        <family val="3"/>
        <charset val="134"/>
      </rPr>
      <t>超轻锁</t>
    </r>
    <r>
      <rPr>
        <sz val="9"/>
        <color theme="1"/>
        <rFont val="Verdana"/>
        <family val="2"/>
      </rPr>
      <t>(Advisory Lock)</t>
    </r>
    <phoneticPr fontId="12" type="noConversion"/>
  </si>
  <si>
    <t>知乎周刊：大话西游</t>
    <phoneticPr fontId="12" type="noConversion"/>
  </si>
  <si>
    <t>Gateway</t>
    <phoneticPr fontId="12" type="noConversion"/>
  </si>
  <si>
    <t>Config</t>
    <phoneticPr fontId="12" type="noConversion"/>
  </si>
  <si>
    <t>Stream</t>
    <phoneticPr fontId="12" type="noConversion"/>
  </si>
  <si>
    <t>Sleuth</t>
    <phoneticPr fontId="12" type="noConversion"/>
  </si>
  <si>
    <t>Zipkin</t>
    <phoneticPr fontId="12" type="noConversion"/>
  </si>
  <si>
    <t>Status</t>
    <phoneticPr fontId="12" type="noConversion"/>
  </si>
  <si>
    <t>Method Reference</t>
    <phoneticPr fontId="12" type="noConversion"/>
  </si>
  <si>
    <t>书的故事</t>
    <phoneticPr fontId="12" type="noConversion"/>
  </si>
  <si>
    <t>幕末史</t>
    <phoneticPr fontId="12" type="noConversion"/>
  </si>
  <si>
    <t>Cloud PaaS</t>
    <phoneticPr fontId="12" type="noConversion"/>
  </si>
  <si>
    <t>12-Factor</t>
    <phoneticPr fontId="12" type="noConversion"/>
  </si>
  <si>
    <t>LLC</t>
    <phoneticPr fontId="12" type="noConversion"/>
  </si>
  <si>
    <t>Limited Liability Company</t>
    <phoneticPr fontId="12" type="noConversion"/>
  </si>
  <si>
    <t>有限责任公司</t>
    <phoneticPr fontId="12" type="noConversion"/>
  </si>
  <si>
    <t>假性亲密关系</t>
    <phoneticPr fontId="12" type="noConversion"/>
  </si>
  <si>
    <t>Request Ordering</t>
    <phoneticPr fontId="12" type="noConversion"/>
  </si>
  <si>
    <t>Hooks</t>
    <phoneticPr fontId="12" type="noConversion"/>
  </si>
  <si>
    <t>19:34</t>
    <phoneticPr fontId="4" type="noConversion"/>
  </si>
  <si>
    <t>Probes</t>
    <phoneticPr fontId="12" type="noConversion"/>
  </si>
  <si>
    <t>Apache Pig</t>
    <phoneticPr fontId="12" type="noConversion"/>
  </si>
  <si>
    <t>Apache Mahout</t>
    <phoneticPr fontId="12" type="noConversion"/>
  </si>
  <si>
    <t>Apache Chukwa</t>
    <phoneticPr fontId="12" type="noConversion"/>
  </si>
  <si>
    <t>Apache Avro</t>
    <phoneticPr fontId="12" type="noConversion"/>
  </si>
  <si>
    <t>H2</t>
    <phoneticPr fontId="12" type="noConversion"/>
  </si>
  <si>
    <t>Fluentd</t>
    <phoneticPr fontId="12" type="noConversion"/>
  </si>
  <si>
    <t>Data Collector</t>
    <phoneticPr fontId="12" type="noConversion"/>
  </si>
  <si>
    <t>Apache Shiro</t>
    <phoneticPr fontId="12" type="noConversion"/>
  </si>
  <si>
    <t>Weekly Allowance (L: 600)</t>
    <phoneticPr fontId="4" type="noConversion"/>
  </si>
  <si>
    <t>Distributed Coordination</t>
    <phoneticPr fontId="12" type="noConversion"/>
  </si>
  <si>
    <t>幸福的婚姻</t>
    <phoneticPr fontId="12" type="noConversion"/>
  </si>
  <si>
    <t>冷战</t>
    <phoneticPr fontId="12" type="noConversion"/>
  </si>
  <si>
    <t>安娜·卡列尼娜</t>
    <phoneticPr fontId="12" type="noConversion"/>
  </si>
  <si>
    <t>鲁滨孙历险记</t>
    <phoneticPr fontId="12" type="noConversion"/>
  </si>
  <si>
    <t>英语的故事</t>
    <phoneticPr fontId="12" type="noConversion"/>
  </si>
  <si>
    <t>汉字复兴的脚步</t>
    <phoneticPr fontId="12" type="noConversion"/>
  </si>
  <si>
    <t>诗经</t>
    <phoneticPr fontId="12" type="noConversion"/>
  </si>
  <si>
    <t xml:space="preserve">中国哲学简史 </t>
    <phoneticPr fontId="12" type="noConversion"/>
  </si>
  <si>
    <t>mockito</t>
    <phoneticPr fontId="12" type="noConversion"/>
  </si>
  <si>
    <t>Apifox</t>
    <phoneticPr fontId="12" type="noConversion"/>
  </si>
  <si>
    <t>Liquibase</t>
    <phoneticPr fontId="12" type="noConversion"/>
  </si>
  <si>
    <t>Apache Flex</t>
    <phoneticPr fontId="12" type="noConversion"/>
  </si>
  <si>
    <t>Strict-Transport-Security</t>
    <phoneticPr fontId="12" type="noConversion"/>
  </si>
  <si>
    <t>Content-Security-Policy</t>
  </si>
  <si>
    <t>X-Frame-Options</t>
    <phoneticPr fontId="12" type="noConversion"/>
  </si>
  <si>
    <t>X-Content-Type-Options</t>
    <phoneticPr fontId="12" type="noConversion"/>
  </si>
  <si>
    <t>Referrer-Policy</t>
    <phoneticPr fontId="12" type="noConversion"/>
  </si>
  <si>
    <t>Permissions-Policy</t>
    <phoneticPr fontId="12" type="noConversion"/>
  </si>
  <si>
    <t>Apache Tez</t>
    <phoneticPr fontId="12" type="noConversion"/>
  </si>
  <si>
    <t>JavaScript Library</t>
    <phoneticPr fontId="12" type="noConversion"/>
  </si>
  <si>
    <t>Data Integration</t>
    <phoneticPr fontId="12" type="noConversion"/>
  </si>
  <si>
    <t>Node JS Module</t>
    <phoneticPr fontId="12" type="noConversion"/>
  </si>
  <si>
    <t>一九八四</t>
    <phoneticPr fontId="12" type="noConversion"/>
  </si>
  <si>
    <t>追风筝的人</t>
    <phoneticPr fontId="12" type="noConversion"/>
  </si>
  <si>
    <t>知乎周刊：不负现在，何惧未来</t>
    <phoneticPr fontId="12" type="noConversion"/>
  </si>
  <si>
    <t>失落的卫星</t>
    <phoneticPr fontId="12" type="noConversion"/>
  </si>
  <si>
    <t>Toolings</t>
    <phoneticPr fontId="12" type="noConversion"/>
  </si>
  <si>
    <t>AngularJS Testing Framework</t>
    <phoneticPr fontId="12" type="noConversion"/>
  </si>
  <si>
    <t>Listener</t>
    <phoneticPr fontId="12" type="noConversion"/>
  </si>
  <si>
    <t>Multiple Listeners</t>
    <phoneticPr fontId="12" type="noConversion"/>
  </si>
  <si>
    <t>Splunk</t>
    <phoneticPr fontId="12" type="noConversion"/>
  </si>
  <si>
    <t>MVC Framework</t>
    <phoneticPr fontId="12" type="noConversion"/>
  </si>
  <si>
    <t>Scheduling</t>
    <phoneticPr fontId="12" type="noConversion"/>
  </si>
  <si>
    <t>Version Control</t>
    <phoneticPr fontId="12" type="noConversion"/>
  </si>
  <si>
    <t>Ephemeral Node</t>
    <phoneticPr fontId="12" type="noConversion"/>
  </si>
  <si>
    <t>Ephemeral Sequential Node</t>
    <phoneticPr fontId="12" type="noConversion"/>
  </si>
  <si>
    <t>Project Management</t>
    <phoneticPr fontId="12" type="noConversion"/>
  </si>
  <si>
    <t>Web App Scanner</t>
    <phoneticPr fontId="12" type="noConversion"/>
  </si>
  <si>
    <t>Web Application Framework</t>
    <phoneticPr fontId="12" type="noConversion"/>
  </si>
  <si>
    <t>API Documentation</t>
    <phoneticPr fontId="12" type="noConversion"/>
  </si>
  <si>
    <t>Search Path</t>
    <phoneticPr fontId="12" type="noConversion"/>
  </si>
  <si>
    <t>RedisSessionManager</t>
    <phoneticPr fontId="12" type="noConversion"/>
  </si>
  <si>
    <t>Configuration</t>
    <phoneticPr fontId="12" type="noConversion"/>
  </si>
  <si>
    <t>Spring Session</t>
    <phoneticPr fontId="12" type="noConversion"/>
  </si>
  <si>
    <t>Java Web</t>
    <phoneticPr fontId="12" type="noConversion"/>
  </si>
  <si>
    <t>Filter</t>
    <phoneticPr fontId="12" type="noConversion"/>
  </si>
  <si>
    <t>CDI</t>
    <phoneticPr fontId="12" type="noConversion"/>
  </si>
  <si>
    <t>OSGi</t>
    <phoneticPr fontId="12" type="noConversion"/>
  </si>
  <si>
    <t>Hardware</t>
    <phoneticPr fontId="12" type="noConversion"/>
  </si>
  <si>
    <t>Boot</t>
    <phoneticPr fontId="12" type="noConversion"/>
  </si>
  <si>
    <t>BIOS</t>
    <phoneticPr fontId="12" type="noConversion"/>
  </si>
  <si>
    <t>UEFI</t>
    <phoneticPr fontId="12" type="noConversion"/>
  </si>
  <si>
    <t>MDC</t>
    <phoneticPr fontId="12" type="noConversion"/>
  </si>
  <si>
    <t>25:54</t>
    <phoneticPr fontId="4" type="noConversion"/>
  </si>
  <si>
    <t>98法国世界杯</t>
    <phoneticPr fontId="12" type="noConversion"/>
  </si>
  <si>
    <t>本地消息表方案</t>
    <phoneticPr fontId="12" type="noConversion"/>
  </si>
  <si>
    <t>可靠消息最终一致性方案</t>
    <phoneticPr fontId="12" type="noConversion"/>
  </si>
  <si>
    <t>沿着季风的方向</t>
    <phoneticPr fontId="12" type="noConversion"/>
  </si>
  <si>
    <t>On Java</t>
    <phoneticPr fontId="4" type="noConversion"/>
  </si>
  <si>
    <t>Cataract</t>
    <phoneticPr fontId="4" type="noConversion"/>
  </si>
  <si>
    <t>Figma</t>
    <phoneticPr fontId="12" type="noConversion"/>
  </si>
  <si>
    <t>BCP (Bulk Copy Program)</t>
    <phoneticPr fontId="12" type="noConversion"/>
  </si>
  <si>
    <t>互联网口述系列丛书</t>
    <phoneticPr fontId="12" type="noConversion"/>
  </si>
  <si>
    <t>人类群星闪耀时</t>
    <phoneticPr fontId="12" type="noConversion"/>
  </si>
  <si>
    <t>最大努力通知方案</t>
    <phoneticPr fontId="12" type="noConversion"/>
  </si>
  <si>
    <t>Spring HATEOAS</t>
    <phoneticPr fontId="12" type="noConversion"/>
  </si>
  <si>
    <t>ITEMS (MOD = 5:2)</t>
    <phoneticPr fontId="4" type="noConversion"/>
  </si>
  <si>
    <t>in Action</t>
    <phoneticPr fontId="4" type="noConversion"/>
  </si>
  <si>
    <t>Spring Boot</t>
    <phoneticPr fontId="4" type="noConversion"/>
  </si>
  <si>
    <t>Spring Microsvc</t>
    <phoneticPr fontId="4" type="noConversion"/>
  </si>
  <si>
    <t>RAG</t>
    <phoneticPr fontId="12" type="noConversion"/>
  </si>
  <si>
    <t>围城</t>
    <phoneticPr fontId="12" type="noConversion"/>
  </si>
  <si>
    <t>Deep link</t>
    <phoneticPr fontId="12" type="noConversion"/>
  </si>
  <si>
    <t>Azure Active Directory</t>
    <phoneticPr fontId="12" type="noConversion"/>
  </si>
  <si>
    <t>中亚行纪</t>
    <phoneticPr fontId="12" type="noConversion"/>
  </si>
  <si>
    <t>Cursor</t>
    <phoneticPr fontId="12" type="noConversion"/>
  </si>
  <si>
    <t>Offset Explorer</t>
    <phoneticPr fontId="12" type="noConversion"/>
  </si>
  <si>
    <t>银河系搭车客指南(一)</t>
    <phoneticPr fontId="12" type="noConversion"/>
  </si>
  <si>
    <t>银河系搭车客指南(二)</t>
    <phoneticPr fontId="12" type="noConversion"/>
  </si>
  <si>
    <t>银河系搭车客指南(三)</t>
    <phoneticPr fontId="12" type="noConversion"/>
  </si>
  <si>
    <t>银河系搭车客指南(四)</t>
    <phoneticPr fontId="12" type="noConversion"/>
  </si>
  <si>
    <t>银河系搭车客指南(五)</t>
    <phoneticPr fontId="12" type="noConversion"/>
  </si>
  <si>
    <t>罪与罚</t>
    <phoneticPr fontId="12" type="noConversion"/>
  </si>
  <si>
    <t>Trae</t>
    <phoneticPr fontId="12" type="noConversion"/>
  </si>
  <si>
    <t xml:space="preserve">人生五大问题 </t>
    <phoneticPr fontId="12" type="noConversion"/>
  </si>
  <si>
    <t>Here document</t>
    <phoneticPr fontId="12" type="noConversion"/>
  </si>
  <si>
    <t>lingua franca</t>
    <phoneticPr fontId="12" type="noConversion"/>
  </si>
  <si>
    <t>通用语</t>
    <phoneticPr fontId="12" type="noConversion"/>
  </si>
  <si>
    <t>interject</t>
    <phoneticPr fontId="12" type="noConversion"/>
  </si>
  <si>
    <t>插话,插嘴</t>
    <phoneticPr fontId="12" type="noConversion"/>
  </si>
  <si>
    <t>Pod Controller</t>
    <phoneticPr fontId="12" type="noConversion"/>
  </si>
  <si>
    <t>Virtual Network</t>
    <phoneticPr fontId="12" type="noConversion"/>
  </si>
  <si>
    <t>Emo Bowl</t>
    <phoneticPr fontId="4" type="noConversion"/>
  </si>
  <si>
    <t>RelicasSet</t>
    <phoneticPr fontId="12" type="noConversion"/>
  </si>
  <si>
    <t>Elide</t>
    <phoneticPr fontId="12" type="noConversion"/>
  </si>
  <si>
    <t>monthly</t>
    <phoneticPr fontId="12" type="noConversion"/>
  </si>
  <si>
    <t>OpenAPI</t>
    <phoneticPr fontId="12" type="noConversion"/>
  </si>
  <si>
    <t>API Specification</t>
    <phoneticPr fontId="12" type="noConversion"/>
  </si>
  <si>
    <r>
      <t>MOD (</t>
    </r>
    <r>
      <rPr>
        <sz val="9"/>
        <color theme="1"/>
        <rFont val="Wingdings"/>
        <charset val="2"/>
      </rPr>
      <t>J</t>
    </r>
    <r>
      <rPr>
        <sz val="9"/>
        <color theme="1"/>
        <rFont val="Verdana"/>
        <family val="2"/>
      </rPr>
      <t xml:space="preserve"> * 0)</t>
    </r>
    <phoneticPr fontId="4" type="noConversion"/>
  </si>
  <si>
    <t>One Leaf</t>
    <phoneticPr fontId="4" type="noConversion"/>
  </si>
  <si>
    <t>港乐情怀</t>
    <phoneticPr fontId="12" type="noConversion"/>
  </si>
  <si>
    <t>emo -&gt; Teens</t>
    <phoneticPr fontId="12" type="noConversion"/>
  </si>
  <si>
    <t>MyBatisPlus</t>
    <phoneticPr fontId="12" type="noConversion"/>
  </si>
  <si>
    <t>Cherry Studio</t>
    <phoneticPr fontId="12" type="noConversion"/>
  </si>
  <si>
    <t>Dify</t>
    <phoneticPr fontId="12" type="noConversion"/>
  </si>
  <si>
    <t>Back-to-origin</t>
    <phoneticPr fontId="12" type="noConversion"/>
  </si>
  <si>
    <t>Database Sharding</t>
    <phoneticPr fontId="12" type="noConversion"/>
  </si>
  <si>
    <t>OnJava</t>
    <phoneticPr fontId="4" type="noConversion"/>
  </si>
  <si>
    <t>Night Event</t>
    <phoneticPr fontId="4" type="noConversion"/>
  </si>
  <si>
    <t>33:48</t>
    <phoneticPr fontId="4" type="noConversion"/>
  </si>
  <si>
    <t>Emo to Teens</t>
  </si>
  <si>
    <t>通信简史</t>
    <phoneticPr fontId="12" type="noConversion"/>
  </si>
  <si>
    <t>Elsa Core</t>
    <phoneticPr fontId="12" type="noConversion"/>
  </si>
  <si>
    <t>Workflow Engine</t>
    <phoneticPr fontId="12" type="noConversion"/>
  </si>
  <si>
    <t>OkHttp</t>
    <phoneticPr fontId="12" type="noConversion"/>
  </si>
  <si>
    <t>HTTP Client</t>
    <phoneticPr fontId="12" type="noConversion"/>
  </si>
  <si>
    <t>LangChain</t>
    <phoneticPr fontId="12" type="noConversion"/>
  </si>
  <si>
    <t>LLM framework</t>
    <phoneticPr fontId="12" type="noConversion"/>
  </si>
  <si>
    <r>
      <t>Foothold (</t>
    </r>
    <r>
      <rPr>
        <sz val="9"/>
        <color theme="1"/>
        <rFont val="Wingdings"/>
        <charset val="2"/>
      </rPr>
      <t>J</t>
    </r>
    <r>
      <rPr>
        <sz val="9"/>
        <color theme="1"/>
        <rFont val="Verdana"/>
        <family val="2"/>
      </rPr>
      <t xml:space="preserve"> * 0)</t>
    </r>
    <phoneticPr fontId="4" type="noConversion"/>
  </si>
  <si>
    <t>Feign Reactive</t>
    <phoneticPr fontId="12" type="noConversion"/>
  </si>
  <si>
    <t>OpenFeign</t>
    <phoneticPr fontId="12" type="noConversion"/>
  </si>
  <si>
    <t>Spring WebFlux</t>
    <phoneticPr fontId="12" type="noConversion"/>
  </si>
  <si>
    <t>OLE OLE Stadium Version</t>
    <phoneticPr fontId="12" type="noConversion"/>
  </si>
  <si>
    <t>乡下人的悲歌</t>
    <phoneticPr fontId="12" type="noConversion"/>
  </si>
  <si>
    <t>性心理学</t>
    <phoneticPr fontId="12" type="noConversion"/>
  </si>
  <si>
    <t>System Division</t>
    <phoneticPr fontId="12" type="noConversion"/>
  </si>
  <si>
    <t>HPA</t>
    <phoneticPr fontId="12" type="noConversion"/>
  </si>
  <si>
    <t>当我们不再理解世界</t>
    <phoneticPr fontId="12" type="noConversion"/>
  </si>
  <si>
    <t>metrics-server</t>
    <phoneticPr fontId="12" type="noConversion"/>
  </si>
  <si>
    <t>SSM</t>
    <phoneticPr fontId="12" type="noConversion"/>
  </si>
  <si>
    <t>API Tool</t>
    <phoneticPr fontId="12" type="noConversion"/>
  </si>
  <si>
    <t>Runner</t>
    <phoneticPr fontId="12" type="noConversion"/>
  </si>
  <si>
    <t>Lint</t>
    <phoneticPr fontId="12" type="noConversion"/>
  </si>
  <si>
    <t>Static Analysis</t>
    <phoneticPr fontId="12" type="noConversion"/>
  </si>
  <si>
    <t>ESLint</t>
    <phoneticPr fontId="12" type="noConversion"/>
  </si>
  <si>
    <t>retrofit</t>
    <phoneticPr fontId="12" type="noConversion"/>
  </si>
  <si>
    <t>翻新,改进</t>
    <phoneticPr fontId="12" type="noConversion"/>
  </si>
  <si>
    <t>poppet</t>
    <phoneticPr fontId="12" type="noConversion"/>
  </si>
  <si>
    <t>&lt;英俚&gt;乖孩子</t>
    <phoneticPr fontId="12" type="noConversion"/>
  </si>
  <si>
    <t>gizmo</t>
    <phoneticPr fontId="12" type="noConversion"/>
  </si>
  <si>
    <t>小玩意儿,小发明</t>
    <phoneticPr fontId="12" type="noConversion"/>
  </si>
  <si>
    <t>Hotspot</t>
    <phoneticPr fontId="12" type="noConversion"/>
  </si>
  <si>
    <t>Prettier</t>
    <phoneticPr fontId="12" type="noConversion"/>
  </si>
  <si>
    <t>Code Formatter</t>
    <phoneticPr fontId="12" type="noConversion"/>
  </si>
  <si>
    <t>Vite</t>
    <phoneticPr fontId="12" type="noConversion"/>
  </si>
  <si>
    <t>MSW</t>
    <phoneticPr fontId="12" type="noConversion"/>
  </si>
  <si>
    <t>JS API Mocking</t>
    <phoneticPr fontId="12" type="noConversion"/>
  </si>
  <si>
    <t>Composition API</t>
    <phoneticPr fontId="12" type="noConversion"/>
  </si>
  <si>
    <t>pnpm</t>
    <phoneticPr fontId="12" type="noConversion"/>
  </si>
  <si>
    <t>Devbox</t>
    <phoneticPr fontId="12" type="noConversion"/>
  </si>
  <si>
    <t>Development</t>
    <phoneticPr fontId="12" type="noConversion"/>
  </si>
  <si>
    <t>Vitest</t>
    <phoneticPr fontId="12" type="noConversion"/>
  </si>
  <si>
    <t>Corepack</t>
    <phoneticPr fontId="12" type="noConversion"/>
  </si>
  <si>
    <t>Flyway</t>
    <phoneticPr fontId="12" type="noConversion"/>
  </si>
  <si>
    <t>Database Migration</t>
    <phoneticPr fontId="12" type="noConversion"/>
  </si>
  <si>
    <t>Checkstyle</t>
    <phoneticPr fontId="12" type="noConversion"/>
  </si>
  <si>
    <t>PMD</t>
    <phoneticPr fontId="12" type="noConversion"/>
  </si>
  <si>
    <t>SpotBugs</t>
    <phoneticPr fontId="12" type="noConversion"/>
  </si>
  <si>
    <t>Spring Web</t>
    <phoneticPr fontId="12" type="noConversion"/>
  </si>
  <si>
    <t>RestControllerAdvice</t>
    <phoneticPr fontId="12" type="noConversion"/>
  </si>
  <si>
    <t>Sealed Class</t>
    <phoneticPr fontId="12" type="noConversion"/>
  </si>
  <si>
    <t>Zol</t>
    <phoneticPr fontId="12" type="noConversion"/>
  </si>
  <si>
    <t>Package Management</t>
    <phoneticPr fontId="12" type="noConversion"/>
  </si>
  <si>
    <t>&amp; and &amp;&amp;</t>
    <phoneticPr fontId="12" type="noConversion"/>
  </si>
  <si>
    <t>Redis Clients</t>
    <phoneticPr fontId="12" type="noConversion"/>
  </si>
  <si>
    <t>Bloom Filter</t>
    <phoneticPr fontId="12" type="noConversion"/>
  </si>
  <si>
    <t>EOF</t>
    <phoneticPr fontId="12" type="noConversion"/>
  </si>
  <si>
    <t>DaemonSet</t>
    <phoneticPr fontId="12" type="noConversion"/>
  </si>
  <si>
    <t>FinOps</t>
    <phoneticPr fontId="12" type="noConversion"/>
  </si>
  <si>
    <t>Read-Write Separation</t>
  </si>
  <si>
    <t>Read-Write Separation</t>
    <phoneticPr fontId="12" type="noConversion"/>
  </si>
  <si>
    <t>Stored Procedure</t>
    <phoneticPr fontId="12" type="noConversion"/>
  </si>
  <si>
    <t>Pagination</t>
    <phoneticPr fontId="12" type="noConversion"/>
  </si>
  <si>
    <t>Sharding-JDBC</t>
    <phoneticPr fontId="12" type="noConversion"/>
  </si>
  <si>
    <t>Mycat</t>
    <phoneticPr fontId="12" type="noConversion"/>
  </si>
  <si>
    <t>Distributed ID Generation</t>
    <phoneticPr fontId="12" type="noConversion"/>
  </si>
  <si>
    <t>ShardingSphere</t>
    <phoneticPr fontId="12" type="noConversion"/>
  </si>
  <si>
    <t>Sharding-Proxy</t>
    <phoneticPr fontId="12" type="noConversion"/>
  </si>
  <si>
    <t>Job</t>
    <phoneticPr fontId="12" type="noConversion"/>
  </si>
  <si>
    <t>Shell Programming</t>
    <phoneticPr fontId="12" type="noConversion"/>
  </si>
  <si>
    <t>Rulesets</t>
    <phoneticPr fontId="12" type="noConversion"/>
  </si>
  <si>
    <t>Secret Rotation</t>
    <phoneticPr fontId="12" type="noConversion"/>
  </si>
  <si>
    <t>生死疲劳</t>
    <phoneticPr fontId="12" type="noConversion"/>
  </si>
  <si>
    <t>火山引擎</t>
    <phoneticPr fontId="12" type="noConversion"/>
  </si>
  <si>
    <t>Event Tracking</t>
    <phoneticPr fontId="12" type="noConversion"/>
  </si>
  <si>
    <t>Data Finder</t>
    <phoneticPr fontId="12" type="noConversion"/>
  </si>
  <si>
    <t>Throughout</t>
    <phoneticPr fontId="12" type="noConversion"/>
  </si>
  <si>
    <t>TPS</t>
    <phoneticPr fontId="12" type="noConversion"/>
  </si>
  <si>
    <t>QPS</t>
    <phoneticPr fontId="12" type="noConversion"/>
  </si>
  <si>
    <t>Top Percentile</t>
    <phoneticPr fontId="12" type="noConversion"/>
  </si>
  <si>
    <t>Static Page</t>
    <phoneticPr fontId="12" type="noConversion"/>
  </si>
  <si>
    <t>Task Queue</t>
    <phoneticPr fontId="12" type="noConversion"/>
  </si>
  <si>
    <t>Mintlify</t>
    <phoneticPr fontId="12" type="noConversion"/>
  </si>
  <si>
    <t>GitBook</t>
    <phoneticPr fontId="12" type="noConversion"/>
  </si>
  <si>
    <t>Documenting</t>
    <phoneticPr fontId="12" type="noConversion"/>
  </si>
  <si>
    <t>zoa</t>
    <phoneticPr fontId="4" type="noConversion"/>
  </si>
  <si>
    <t>Cross-Shard Joins</t>
    <phoneticPr fontId="12" type="noConversion"/>
  </si>
  <si>
    <t>Cross-Shard Pagination</t>
    <phoneticPr fontId="12" type="noConversion"/>
  </si>
  <si>
    <t>Unique Sequencing</t>
    <phoneticPr fontId="12" type="noConversion"/>
  </si>
  <si>
    <t>**</t>
    <phoneticPr fontId="4" type="noConversion"/>
  </si>
  <si>
    <r>
      <t>600150 (</t>
    </r>
    <r>
      <rPr>
        <sz val="10"/>
        <rFont val="Microsoft YaHei"/>
        <family val="2"/>
        <charset val="134"/>
      </rPr>
      <t>中国船舶</t>
    </r>
    <r>
      <rPr>
        <sz val="10"/>
        <rFont val="Verdana"/>
        <family val="2"/>
      </rPr>
      <t>)</t>
    </r>
    <phoneticPr fontId="4" type="noConversion"/>
  </si>
  <si>
    <t>蔡康永的说话之道</t>
    <phoneticPr fontId="12" type="noConversion"/>
  </si>
  <si>
    <t>cron</t>
    <phoneticPr fontId="12" type="noConversion"/>
  </si>
  <si>
    <t>CronJob</t>
    <phoneticPr fontId="12" type="noConversion"/>
  </si>
  <si>
    <t>Confluent</t>
    <phoneticPr fontId="12" type="noConversion"/>
  </si>
  <si>
    <t>水煮三国</t>
    <phoneticPr fontId="12" type="noConversion"/>
  </si>
  <si>
    <t>自私的基因</t>
    <phoneticPr fontId="12" type="noConversion"/>
  </si>
  <si>
    <t>Issue Lifecycle</t>
    <phoneticPr fontId="12" type="noConversion"/>
  </si>
  <si>
    <t>MVVM</t>
    <phoneticPr fontId="12" type="noConversion"/>
  </si>
  <si>
    <t>Element Plus</t>
    <phoneticPr fontId="12" type="noConversion"/>
  </si>
  <si>
    <t>State Management</t>
    <phoneticPr fontId="12" type="noConversion"/>
  </si>
  <si>
    <t>Vuex</t>
    <phoneticPr fontId="12" type="noConversion"/>
  </si>
  <si>
    <t>Pinia</t>
    <phoneticPr fontId="12" type="noConversion"/>
  </si>
  <si>
    <t>Mixin</t>
    <phoneticPr fontId="12" type="noConversion"/>
  </si>
  <si>
    <t>Renderless Components</t>
    <phoneticPr fontId="12" type="noConversion"/>
  </si>
  <si>
    <t>Composable Components</t>
    <phoneticPr fontId="12" type="noConversion"/>
  </si>
  <si>
    <t>Frontend</t>
    <phoneticPr fontId="12" type="noConversion"/>
  </si>
  <si>
    <t>Server-Side Rendering</t>
    <phoneticPr fontId="12" type="noConversion"/>
  </si>
  <si>
    <t>Debouncing</t>
    <phoneticPr fontId="12" type="noConversion"/>
  </si>
  <si>
    <t>Open Close Principle</t>
    <phoneticPr fontId="12" type="noConversion"/>
  </si>
  <si>
    <t>Anti-Corruption Layer</t>
    <phoneticPr fontId="12" type="noConversion"/>
  </si>
  <si>
    <t>BDD</t>
    <phoneticPr fontId="12" type="noConversion"/>
  </si>
  <si>
    <t>Given-When-Then</t>
    <phoneticPr fontId="12" type="noConversion"/>
  </si>
  <si>
    <t>Unit Testing</t>
    <phoneticPr fontId="12" type="noConversion"/>
  </si>
  <si>
    <t>Mock</t>
    <phoneticPr fontId="12" type="noConversion"/>
  </si>
  <si>
    <t>Stub</t>
    <phoneticPr fontId="12" type="noConversion"/>
  </si>
  <si>
    <t>Dummy</t>
    <phoneticPr fontId="12" type="noConversion"/>
  </si>
  <si>
    <t>Fake</t>
    <phoneticPr fontId="12" type="noConversion"/>
  </si>
  <si>
    <t>Micro Frontend</t>
    <phoneticPr fontId="12" type="noConversion"/>
  </si>
  <si>
    <t>JS Sandbox</t>
    <phoneticPr fontId="12" type="noConversion"/>
  </si>
  <si>
    <t>Component Loading</t>
    <phoneticPr fontId="12" type="noConversion"/>
  </si>
  <si>
    <t>STIR/SHAKEN</t>
    <phoneticPr fontId="12" type="noConversion"/>
  </si>
  <si>
    <t>monorepo</t>
    <phoneticPr fontId="12" type="noConversion"/>
  </si>
  <si>
    <t>Workspace</t>
    <phoneticPr fontId="12" type="noConversion"/>
  </si>
  <si>
    <t>Sharding Strategies</t>
    <phoneticPr fontId="12" type="noConversion"/>
  </si>
  <si>
    <t>Z Garbage Collector</t>
    <phoneticPr fontId="12" type="noConversion"/>
  </si>
  <si>
    <t>G1 Garbage Collector</t>
    <phoneticPr fontId="12" type="noConversion"/>
  </si>
  <si>
    <t>*</t>
    <phoneticPr fontId="4" type="noConversion"/>
  </si>
  <si>
    <t>Forwarding</t>
    <phoneticPr fontId="12" type="noConversion"/>
  </si>
  <si>
    <t>userspace</t>
    <phoneticPr fontId="12" type="noConversion"/>
  </si>
  <si>
    <t>Bound Context</t>
    <phoneticPr fontId="12" type="noConversion"/>
  </si>
  <si>
    <t>SOLID</t>
    <phoneticPr fontId="12" type="noConversion"/>
  </si>
  <si>
    <t>Open Closed Principle</t>
    <phoneticPr fontId="12" type="noConversion"/>
  </si>
  <si>
    <t>信号与噪声</t>
    <phoneticPr fontId="12" type="noConversion"/>
  </si>
  <si>
    <t>Local Storage</t>
    <phoneticPr fontId="12" type="noConversion"/>
  </si>
  <si>
    <t>Service Headers</t>
    <phoneticPr fontId="12" type="noConversion"/>
  </si>
  <si>
    <t>30:50</t>
    <phoneticPr fontId="4" type="noConversion"/>
  </si>
  <si>
    <t>Iframes</t>
    <phoneticPr fontId="12" type="noConversion"/>
  </si>
  <si>
    <t>Component Libraries</t>
    <phoneticPr fontId="12" type="noConversion"/>
  </si>
  <si>
    <t>Inheritable Components</t>
    <phoneticPr fontId="12" type="noConversion"/>
  </si>
  <si>
    <t>Asynchronous Processing</t>
    <phoneticPr fontId="12" type="noConversion"/>
  </si>
  <si>
    <t>Rate Limiting</t>
    <phoneticPr fontId="12" type="noConversion"/>
  </si>
  <si>
    <t>Circuit Breaker</t>
    <phoneticPr fontId="12" type="noConversion"/>
  </si>
  <si>
    <t>Full GC</t>
    <phoneticPr fontId="12" type="noConversion"/>
  </si>
  <si>
    <t>Mass Volumes</t>
    <phoneticPr fontId="12" type="noConversion"/>
  </si>
  <si>
    <t>API Tracking</t>
    <phoneticPr fontId="12" type="noConversion"/>
  </si>
  <si>
    <t>Heap</t>
    <phoneticPr fontId="12" type="noConversion"/>
  </si>
  <si>
    <t>Bean Loading</t>
    <phoneticPr fontId="12" type="noConversion"/>
  </si>
  <si>
    <t>Persistent</t>
    <phoneticPr fontId="12" type="noConversion"/>
  </si>
  <si>
    <t>Transient</t>
    <phoneticPr fontId="12" type="noConversion"/>
  </si>
  <si>
    <t>Detached</t>
    <phoneticPr fontId="12" type="noConversion"/>
  </si>
  <si>
    <t>Core Parameters</t>
    <phoneticPr fontId="12" type="noConversion"/>
  </si>
  <si>
    <t>Use Cases</t>
    <phoneticPr fontId="12" type="noConversion"/>
  </si>
  <si>
    <t>synchronized</t>
    <phoneticPr fontId="12" type="noConversion"/>
  </si>
  <si>
    <t>ThreadLocal</t>
    <phoneticPr fontId="12" type="noConversion"/>
  </si>
  <si>
    <t>CAS</t>
    <phoneticPr fontId="12" type="noConversion"/>
  </si>
  <si>
    <t>Atomity</t>
    <phoneticPr fontId="12" type="noConversion"/>
  </si>
  <si>
    <t>System Design</t>
    <phoneticPr fontId="12" type="noConversion"/>
  </si>
  <si>
    <t>Producer-Consumer Pattern</t>
    <phoneticPr fontId="12" type="noConversion"/>
  </si>
  <si>
    <t>Apache Flink</t>
    <phoneticPr fontId="12" type="noConversion"/>
  </si>
  <si>
    <t>CAM</t>
    <phoneticPr fontId="12" type="noConversion"/>
  </si>
  <si>
    <t>ABAC</t>
    <phoneticPr fontId="12" type="noConversion"/>
  </si>
  <si>
    <t>lend credence to sth.</t>
    <phoneticPr fontId="12" type="noConversion"/>
  </si>
  <si>
    <t>使某事物更加可信</t>
    <phoneticPr fontId="12" type="noConversion"/>
  </si>
  <si>
    <t>Version Features</t>
    <phoneticPr fontId="12" type="noConversion"/>
  </si>
  <si>
    <t>JDK 8</t>
    <phoneticPr fontId="12" type="noConversion"/>
  </si>
  <si>
    <t>JDK 17</t>
    <phoneticPr fontId="12" type="noConversion"/>
  </si>
  <si>
    <t>JDK 21</t>
    <phoneticPr fontId="12" type="noConversion"/>
  </si>
  <si>
    <t>Streams</t>
    <phoneticPr fontId="12" type="noConversion"/>
  </si>
  <si>
    <t>map</t>
    <phoneticPr fontId="12" type="noConversion"/>
  </si>
  <si>
    <t>Functional Interface</t>
    <phoneticPr fontId="12" type="noConversion"/>
  </si>
  <si>
    <t>Runtime Data Area</t>
    <phoneticPr fontId="12" type="noConversion"/>
  </si>
  <si>
    <t>Composite Indexes</t>
    <phoneticPr fontId="12" type="noConversion"/>
  </si>
  <si>
    <t>Sorting</t>
    <phoneticPr fontId="12" type="noConversion"/>
  </si>
  <si>
    <t>Limited Space</t>
    <phoneticPr fontId="12" type="noConversion"/>
  </si>
  <si>
    <t>等价类</t>
    <phoneticPr fontId="12" type="noConversion"/>
  </si>
  <si>
    <t>等价关系</t>
    <phoneticPr fontId="12" type="noConversion"/>
  </si>
  <si>
    <t>并查集</t>
    <phoneticPr fontId="12" type="noConversion"/>
  </si>
  <si>
    <t>最优化算法</t>
    <phoneticPr fontId="12" type="noConversion"/>
  </si>
  <si>
    <t>超卖问题</t>
    <phoneticPr fontId="12" type="noConversion"/>
  </si>
  <si>
    <t>HTTP Clienting</t>
    <phoneticPr fontId="12" type="noConversion"/>
  </si>
  <si>
    <t>Canary Deployment</t>
    <phoneticPr fontId="12" type="noConversion"/>
  </si>
  <si>
    <t>Blue/Green Deployment</t>
    <phoneticPr fontId="12" type="noConversion"/>
  </si>
  <si>
    <t>Working Mechanism</t>
    <phoneticPr fontId="12" type="noConversion"/>
  </si>
  <si>
    <t>Front Controller Pattern</t>
    <phoneticPr fontId="12" type="noConversion"/>
  </si>
  <si>
    <t>Play</t>
    <phoneticPr fontId="12" type="noConversion"/>
  </si>
  <si>
    <t>Web Framework</t>
    <phoneticPr fontId="12" type="noConversion"/>
  </si>
  <si>
    <t>堆外缓存</t>
    <phoneticPr fontId="12" type="noConversion"/>
  </si>
  <si>
    <t>Google Guava</t>
    <phoneticPr fontId="12" type="noConversion"/>
  </si>
  <si>
    <t>Java Library</t>
    <phoneticPr fontId="12" type="noConversion"/>
  </si>
  <si>
    <t>EventBus</t>
    <phoneticPr fontId="12" type="noConversion"/>
  </si>
  <si>
    <t>FastFDS</t>
    <phoneticPr fontId="12" type="noConversion"/>
  </si>
  <si>
    <t>Distributed File System</t>
    <phoneticPr fontId="12" type="noConversion"/>
  </si>
  <si>
    <t>POSIX</t>
    <phoneticPr fontId="12" type="noConversion"/>
  </si>
  <si>
    <t>RAID</t>
    <phoneticPr fontId="12" type="noConversion"/>
  </si>
  <si>
    <t>Cloud Foundry</t>
    <phoneticPr fontId="12" type="noConversion"/>
  </si>
  <si>
    <t>Cache Server</t>
    <phoneticPr fontId="12" type="noConversion"/>
  </si>
  <si>
    <t>Cache Hit Rate</t>
    <phoneticPr fontId="12" type="noConversion"/>
  </si>
  <si>
    <t>Hash Algorithm</t>
    <phoneticPr fontId="12" type="noConversion"/>
  </si>
  <si>
    <t>Optimizeit</t>
    <phoneticPr fontId="12" type="noConversion"/>
  </si>
  <si>
    <t>VMWare Gemfire</t>
    <phoneticPr fontId="12" type="noConversion"/>
  </si>
  <si>
    <t>In-memory Data Grid</t>
    <phoneticPr fontId="12" type="noConversion"/>
  </si>
  <si>
    <t>Esper</t>
    <phoneticPr fontId="12" type="noConversion"/>
  </si>
  <si>
    <t>Event Processing</t>
    <phoneticPr fontId="12" type="noConversion"/>
  </si>
  <si>
    <t>Thread Interruption</t>
    <phoneticPr fontId="12" type="noConversion"/>
  </si>
  <si>
    <t>Jboss</t>
    <phoneticPr fontId="12" type="noConversion"/>
  </si>
  <si>
    <t>Transaction Support</t>
    <phoneticPr fontId="12" type="noConversion"/>
  </si>
  <si>
    <t>TCP</t>
    <phoneticPr fontId="12" type="noConversion"/>
  </si>
  <si>
    <t>volatile</t>
    <phoneticPr fontId="12" type="noConversion"/>
  </si>
  <si>
    <t>Locking</t>
    <phoneticPr fontId="12" type="noConversion"/>
  </si>
  <si>
    <t>Optimistic Locking</t>
    <phoneticPr fontId="12" type="noConversion"/>
  </si>
  <si>
    <t>Pessimistic Locking</t>
    <phoneticPr fontId="12" type="noConversion"/>
  </si>
  <si>
    <t>Sliding Window</t>
    <phoneticPr fontId="12" type="noConversion"/>
  </si>
  <si>
    <t>渐进式单线程扩容</t>
    <phoneticPr fontId="12" type="noConversion"/>
  </si>
  <si>
    <t>Rehash</t>
    <phoneticPr fontId="12" type="noConversion"/>
  </si>
  <si>
    <t>AOP</t>
    <phoneticPr fontId="12" type="noConversion"/>
  </si>
  <si>
    <t>IoC</t>
    <phoneticPr fontId="12" type="noConversion"/>
  </si>
  <si>
    <t>Circular Dependency</t>
    <phoneticPr fontId="12" type="noConversion"/>
  </si>
  <si>
    <t>expose</t>
    <phoneticPr fontId="12" type="noConversion"/>
  </si>
  <si>
    <t>Endpoint</t>
    <phoneticPr fontId="12" type="noConversion"/>
  </si>
  <si>
    <t>DNS Domain</t>
    <phoneticPr fontId="12" type="noConversion"/>
  </si>
  <si>
    <t>Squid</t>
    <phoneticPr fontId="12" type="noConversion"/>
  </si>
  <si>
    <t>Web Proxy</t>
    <phoneticPr fontId="12" type="noConversion"/>
  </si>
  <si>
    <t>SSL Bumping</t>
    <phoneticPr fontId="12" type="noConversion"/>
  </si>
  <si>
    <t>Claude</t>
    <phoneticPr fontId="12" type="noConversion"/>
  </si>
  <si>
    <t>AI Tools</t>
    <phoneticPr fontId="12" type="noConversion"/>
  </si>
  <si>
    <t>Kimi</t>
    <phoneticPr fontId="12" type="noConversion"/>
  </si>
  <si>
    <t>AI Models</t>
    <phoneticPr fontId="12" type="noConversion"/>
  </si>
  <si>
    <t>Scale Up/Down</t>
    <phoneticPr fontId="12" type="noConversion"/>
  </si>
  <si>
    <t>东亚三国的近现代史</t>
    <phoneticPr fontId="12" type="noConversion"/>
  </si>
  <si>
    <t>数字城堡</t>
    <phoneticPr fontId="12" type="noConversion"/>
  </si>
  <si>
    <t>达芬奇密码</t>
    <phoneticPr fontId="12" type="noConversion"/>
  </si>
  <si>
    <t>巴黎圣母院</t>
    <phoneticPr fontId="12" type="noConversion"/>
  </si>
  <si>
    <t>刘慈欣科幻小说精选辑</t>
    <phoneticPr fontId="12" type="noConversion"/>
  </si>
  <si>
    <t>阿兰·德波顿作品集</t>
    <phoneticPr fontId="12" type="noConversion"/>
  </si>
  <si>
    <t>Long-Lived Connection</t>
    <phoneticPr fontId="12" type="noConversion"/>
  </si>
  <si>
    <r>
      <t>300126 (</t>
    </r>
    <r>
      <rPr>
        <sz val="10"/>
        <rFont val="Microsoft YaHei"/>
        <family val="2"/>
        <charset val="134"/>
      </rPr>
      <t>锐奇股份</t>
    </r>
    <r>
      <rPr>
        <sz val="10"/>
        <rFont val="Verdana"/>
        <family val="2"/>
      </rPr>
      <t>)</t>
    </r>
    <phoneticPr fontId="4" type="noConversion"/>
  </si>
  <si>
    <t>CAS Classes</t>
    <phoneticPr fontId="12" type="noConversion"/>
  </si>
  <si>
    <t>Networking protocols</t>
    <phoneticPr fontId="12" type="noConversion"/>
  </si>
  <si>
    <t>HTTPS</t>
    <phoneticPr fontId="12" type="noConversion"/>
  </si>
  <si>
    <t>Linked List</t>
    <phoneticPr fontId="12" type="noConversion"/>
  </si>
  <si>
    <t>Inversion</t>
    <phoneticPr fontId="12" type="noConversion"/>
  </si>
  <si>
    <t>List Copy</t>
    <phoneticPr fontId="12" type="noConversion"/>
  </si>
  <si>
    <t>Multi-Process</t>
    <phoneticPr fontId="12" type="noConversion"/>
  </si>
  <si>
    <t>URL Shortening</t>
    <phoneticPr fontId="12" type="noConversion"/>
  </si>
  <si>
    <t>Isolation Level</t>
    <phoneticPr fontId="12" type="noConversion"/>
  </si>
  <si>
    <t>LIKE</t>
    <phoneticPr fontId="12" type="noConversion"/>
  </si>
  <si>
    <t>Mirror Binary Tree</t>
    <phoneticPr fontId="12" type="noConversion"/>
  </si>
  <si>
    <t>Service Fallback</t>
    <phoneticPr fontId="12" type="noConversion"/>
  </si>
  <si>
    <t>Retries</t>
    <phoneticPr fontId="12" type="noConversion"/>
  </si>
  <si>
    <t>Timeout</t>
    <phoneticPr fontId="12" type="noConversion"/>
  </si>
  <si>
    <r>
      <t>Shard</t>
    </r>
    <r>
      <rPr>
        <sz val="9"/>
        <color theme="1"/>
        <rFont val="微软雅黑"/>
        <family val="2"/>
        <charset val="134"/>
      </rPr>
      <t>过滤器</t>
    </r>
    <phoneticPr fontId="12" type="noConversion"/>
  </si>
  <si>
    <t>Primary-Replica Sync</t>
    <phoneticPr fontId="12" type="noConversion"/>
  </si>
  <si>
    <t>搜索</t>
    <phoneticPr fontId="12" type="noConversion"/>
  </si>
  <si>
    <t>搜索算法</t>
    <phoneticPr fontId="12" type="noConversion"/>
  </si>
  <si>
    <t>Partial-Text Search</t>
    <phoneticPr fontId="12" type="noConversion"/>
  </si>
  <si>
    <t>Domain</t>
    <phoneticPr fontId="12" type="noConversion"/>
  </si>
  <si>
    <t>Domain Attributes</t>
    <phoneticPr fontId="12" type="noConversion"/>
  </si>
  <si>
    <t>Parameters Optimization</t>
    <phoneticPr fontId="12" type="noConversion"/>
  </si>
  <si>
    <t>Service Types</t>
    <phoneticPr fontId="12" type="noConversion"/>
  </si>
  <si>
    <t>自</t>
    <phoneticPr fontId="12" type="noConversion"/>
  </si>
  <si>
    <t>借</t>
    <phoneticPr fontId="12" type="noConversion"/>
  </si>
  <si>
    <t>纸</t>
    <phoneticPr fontId="12" type="noConversion"/>
  </si>
  <si>
    <t>电</t>
    <phoneticPr fontId="12" type="noConversion"/>
  </si>
  <si>
    <t>PriorityQueue</t>
    <phoneticPr fontId="12" type="noConversion"/>
  </si>
  <si>
    <t>LinkedHashMap</t>
    <phoneticPr fontId="12" type="noConversion"/>
  </si>
  <si>
    <t>WeakHashMap</t>
    <phoneticPr fontId="12" type="noConversion"/>
  </si>
  <si>
    <t>EnumMap</t>
    <phoneticPr fontId="12" type="noConversion"/>
  </si>
  <si>
    <t>CopyOnWrite</t>
    <phoneticPr fontId="12" type="noConversion"/>
  </si>
  <si>
    <t>Executors</t>
    <phoneticPr fontId="12" type="noConversion"/>
  </si>
  <si>
    <t>Networks</t>
    <phoneticPr fontId="12" type="noConversion"/>
  </si>
  <si>
    <t>Socket</t>
    <phoneticPr fontId="12" type="noConversion"/>
  </si>
  <si>
    <t>Class Loader</t>
    <phoneticPr fontId="12" type="noConversion"/>
  </si>
  <si>
    <t>Servlet</t>
    <phoneticPr fontId="12" type="noConversion"/>
  </si>
  <si>
    <t>成语与掌故</t>
    <phoneticPr fontId="12" type="noConversion"/>
  </si>
  <si>
    <t>3 Self : 1 Borrowed</t>
    <phoneticPr fontId="12" type="noConversion"/>
  </si>
  <si>
    <t>精英陷阱</t>
    <phoneticPr fontId="12" type="noConversion"/>
  </si>
  <si>
    <t>精英的傲慢</t>
    <phoneticPr fontId="12" type="noConversion"/>
  </si>
  <si>
    <t>毫无意义的工作</t>
    <phoneticPr fontId="12" type="noConversion"/>
  </si>
  <si>
    <t>单向度的人</t>
    <phoneticPr fontId="12" type="noConversion"/>
  </si>
  <si>
    <t>Days</t>
    <phoneticPr fontId="12" type="noConversion"/>
  </si>
  <si>
    <t>4 Paper : 1 APP : 1 Kindle</t>
    <phoneticPr fontId="12" type="noConversion"/>
  </si>
  <si>
    <t>WeCOM</t>
    <phoneticPr fontId="12" type="noConversion"/>
  </si>
  <si>
    <t>JS-SDK</t>
    <phoneticPr fontId="12" type="noConversion"/>
  </si>
  <si>
    <t>JSAPI Ticket</t>
    <phoneticPr fontId="12" type="noConversion"/>
  </si>
  <si>
    <t>Playwright</t>
    <phoneticPr fontId="12" type="noConversion"/>
  </si>
  <si>
    <t>non_emo -&gt; QQ</t>
    <phoneticPr fontId="12" type="noConversion"/>
  </si>
  <si>
    <t>我错</t>
    <phoneticPr fontId="12" type="noConversion"/>
  </si>
  <si>
    <t>OWSAP</t>
    <phoneticPr fontId="12" type="noConversion"/>
  </si>
  <si>
    <t>dangerouslySetInnerHTML</t>
    <phoneticPr fontId="12" type="noConversion"/>
  </si>
  <si>
    <t>Chain of Responsibility</t>
    <phoneticPr fontId="12" type="noConversion"/>
  </si>
  <si>
    <t>Transaction Management</t>
    <phoneticPr fontId="12" type="noConversion"/>
  </si>
  <si>
    <t>@Transactional</t>
    <phoneticPr fontId="12" type="noConversion"/>
  </si>
  <si>
    <t>黑洞战争</t>
    <phoneticPr fontId="12" type="noConversion"/>
  </si>
  <si>
    <t>超空间</t>
    <phoneticPr fontId="12" type="noConversion"/>
  </si>
  <si>
    <t>Linear Lists</t>
    <phoneticPr fontId="12" type="noConversion"/>
  </si>
  <si>
    <t>Trees</t>
    <phoneticPr fontId="12" type="noConversion"/>
  </si>
  <si>
    <t>Document-Oriented Database</t>
    <phoneticPr fontId="12" type="noConversion"/>
  </si>
  <si>
    <t>Searching</t>
    <phoneticPr fontId="12" type="noConversion"/>
  </si>
  <si>
    <t>Insertion Sort</t>
    <phoneticPr fontId="12" type="noConversion"/>
  </si>
  <si>
    <t>Shell Sort</t>
    <phoneticPr fontId="12" type="noConversion"/>
  </si>
  <si>
    <t>Selection Sort</t>
    <phoneticPr fontId="12" type="noConversion"/>
  </si>
  <si>
    <t>Heap Sort</t>
    <phoneticPr fontId="12" type="noConversion"/>
  </si>
  <si>
    <t>Bubble Sort</t>
    <phoneticPr fontId="12" type="noConversion"/>
  </si>
  <si>
    <t>Quick Sort</t>
    <phoneticPr fontId="12" type="noConversion"/>
  </si>
  <si>
    <t>Merge Sort</t>
    <phoneticPr fontId="12" type="noConversion"/>
  </si>
  <si>
    <t>Linear Search</t>
    <phoneticPr fontId="12" type="noConversion"/>
  </si>
  <si>
    <t>Binary Search</t>
    <phoneticPr fontId="12" type="noConversion"/>
  </si>
  <si>
    <t>Hash Search</t>
    <phoneticPr fontId="12" type="noConversion"/>
  </si>
  <si>
    <t>Greedy Algorithm</t>
    <phoneticPr fontId="12" type="noConversion"/>
  </si>
  <si>
    <t>Divide and Conquer</t>
    <phoneticPr fontId="12" type="noConversion"/>
  </si>
  <si>
    <t>ISO Layers</t>
    <phoneticPr fontId="12" type="noConversion"/>
  </si>
  <si>
    <t>3 Handshakes</t>
    <phoneticPr fontId="12" type="noConversion"/>
  </si>
  <si>
    <t>四次挥手</t>
    <phoneticPr fontId="12" type="noConversion"/>
  </si>
  <si>
    <t>Peformance Tuning</t>
    <phoneticPr fontId="12" type="noConversion"/>
  </si>
  <si>
    <t>Datatable Designing</t>
    <phoneticPr fontId="12" type="noConversion"/>
  </si>
  <si>
    <t>Mass Data Volume</t>
    <phoneticPr fontId="12" type="noConversion"/>
  </si>
  <si>
    <t>Process</t>
    <phoneticPr fontId="12" type="noConversion"/>
  </si>
  <si>
    <t>I/O</t>
    <phoneticPr fontId="12" type="noConversion"/>
  </si>
  <si>
    <t>Vue 3 Component Library</t>
    <phoneticPr fontId="12" type="noConversion"/>
  </si>
  <si>
    <t>Babel</t>
    <phoneticPr fontId="12" type="noConversion"/>
  </si>
  <si>
    <t>JavaScript Compiler</t>
    <phoneticPr fontId="12" type="noConversion"/>
  </si>
  <si>
    <t>Polyfill</t>
    <phoneticPr fontId="12" type="noConversion"/>
  </si>
  <si>
    <t>Programming</t>
    <phoneticPr fontId="12" type="noConversion"/>
  </si>
  <si>
    <t>Sass</t>
    <phoneticPr fontId="12" type="noConversion"/>
  </si>
  <si>
    <t>CSS Extension</t>
    <phoneticPr fontId="12" type="noConversion"/>
  </si>
  <si>
    <t>TMT</t>
    <phoneticPr fontId="4" type="noConversion"/>
  </si>
  <si>
    <t>scl</t>
    <phoneticPr fontId="12" type="noConversion"/>
  </si>
  <si>
    <t>git remote</t>
    <phoneticPr fontId="12" type="noConversion"/>
  </si>
  <si>
    <t>git clone</t>
    <phoneticPr fontId="12" type="noConversion"/>
  </si>
  <si>
    <t>git push</t>
    <phoneticPr fontId="12" type="noConversion"/>
  </si>
  <si>
    <t>git checkout</t>
    <phoneticPr fontId="12" type="noConversion"/>
  </si>
  <si>
    <t>git branch</t>
    <phoneticPr fontId="12" type="noConversion"/>
  </si>
  <si>
    <t>du</t>
    <phoneticPr fontId="12" type="noConversion"/>
  </si>
  <si>
    <t>lsblk</t>
    <phoneticPr fontId="12" type="noConversion"/>
  </si>
  <si>
    <t>tar</t>
    <phoneticPr fontId="12" type="noConversion"/>
  </si>
  <si>
    <t>pkill</t>
    <phoneticPr fontId="12" type="noConversion"/>
  </si>
  <si>
    <t>su</t>
    <phoneticPr fontId="12" type="noConversion"/>
  </si>
  <si>
    <t>netstat</t>
    <phoneticPr fontId="12" type="noConversion"/>
  </si>
  <si>
    <t>rpm</t>
    <phoneticPr fontId="12" type="noConversion"/>
  </si>
  <si>
    <t>ls</t>
    <phoneticPr fontId="12" type="noConversion"/>
  </si>
  <si>
    <t>ps</t>
    <phoneticPr fontId="12" type="noConversion"/>
  </si>
  <si>
    <t>bash_builtins</t>
    <phoneticPr fontId="12" type="noConversion"/>
  </si>
  <si>
    <t>nvm</t>
    <phoneticPr fontId="12" type="noConversion"/>
  </si>
  <si>
    <t>locate</t>
    <phoneticPr fontId="12" type="noConversion"/>
  </si>
  <si>
    <t>人月神话</t>
    <phoneticPr fontId="12" type="noConversion"/>
  </si>
  <si>
    <t>权力与人性</t>
    <phoneticPr fontId="12" type="noConversion"/>
  </si>
  <si>
    <t>Single Message Transform</t>
    <phoneticPr fontId="12" type="noConversion"/>
  </si>
  <si>
    <r>
      <t>300129 (</t>
    </r>
    <r>
      <rPr>
        <sz val="10"/>
        <color theme="1"/>
        <rFont val="Microsoft YaHei"/>
        <family val="2"/>
        <charset val="134"/>
      </rPr>
      <t>泰胜风能</t>
    </r>
    <r>
      <rPr>
        <sz val="10"/>
        <color theme="1"/>
        <rFont val="Verdana"/>
        <family val="2"/>
      </rPr>
      <t>)</t>
    </r>
    <phoneticPr fontId="4" type="noConversion"/>
  </si>
  <si>
    <t>JAXB</t>
    <phoneticPr fontId="12" type="noConversion"/>
  </si>
  <si>
    <t>Quartz</t>
    <phoneticPr fontId="12" type="noConversion"/>
  </si>
  <si>
    <t>血与蜜之地</t>
    <phoneticPr fontId="12" type="noConversion"/>
  </si>
  <si>
    <t>Apache Commons</t>
    <phoneticPr fontId="12" type="noConversion"/>
  </si>
  <si>
    <t>dig</t>
    <phoneticPr fontId="12" type="noConversion"/>
  </si>
  <si>
    <t>Day Event</t>
    <phoneticPr fontId="4" type="noConversion"/>
  </si>
  <si>
    <t>Single to Sharding Migration</t>
    <phoneticPr fontId="12" type="noConversion"/>
  </si>
  <si>
    <t>JFrog</t>
    <phoneticPr fontId="12" type="noConversion"/>
  </si>
  <si>
    <t>Governance</t>
    <phoneticPr fontId="12" type="noConversion"/>
  </si>
  <si>
    <r>
      <t>300128 (</t>
    </r>
    <r>
      <rPr>
        <sz val="10"/>
        <rFont val="Microsoft YaHei"/>
        <family val="2"/>
        <charset val="134"/>
      </rPr>
      <t>锦富技术</t>
    </r>
    <r>
      <rPr>
        <sz val="10"/>
        <rFont val="Verdana"/>
        <family val="2"/>
      </rPr>
      <t>)</t>
    </r>
    <phoneticPr fontId="4" type="noConversion"/>
  </si>
  <si>
    <r>
      <t>601225 (</t>
    </r>
    <r>
      <rPr>
        <sz val="10"/>
        <color theme="1"/>
        <rFont val="Microsoft YaHei"/>
        <family val="2"/>
        <charset val="134"/>
      </rPr>
      <t>陕西煤业</t>
    </r>
    <r>
      <rPr>
        <sz val="10"/>
        <color theme="1"/>
        <rFont val="Verdana"/>
        <family val="2"/>
      </rPr>
      <t>)</t>
    </r>
    <phoneticPr fontId="4" type="noConversion"/>
  </si>
  <si>
    <t>Ingress</t>
    <phoneticPr fontId="12" type="noConversion"/>
  </si>
  <si>
    <t>Gateway API</t>
    <phoneticPr fontId="12" type="noConversion"/>
  </si>
  <si>
    <t>5(24)</t>
    <phoneticPr fontId="12" type="noConversion"/>
  </si>
  <si>
    <t>Contour</t>
    <phoneticPr fontId="12" type="noConversion"/>
  </si>
  <si>
    <t>Ingress Controller</t>
    <phoneticPr fontId="12" type="noConversion"/>
  </si>
  <si>
    <t>HAProxy</t>
    <phoneticPr fontId="12" type="noConversion"/>
  </si>
  <si>
    <t>Reverse Proxy</t>
    <phoneticPr fontId="12" type="noConversion"/>
  </si>
  <si>
    <t>蔡康永的说话之道2</t>
    <phoneticPr fontId="12" type="noConversion"/>
  </si>
  <si>
    <t>C(0)</t>
    <phoneticPr fontId="12" type="noConversion"/>
  </si>
  <si>
    <t>单身情歌</t>
    <phoneticPr fontId="12" type="noConversion"/>
  </si>
  <si>
    <t>在那桃花盛开的地方</t>
    <phoneticPr fontId="12" type="noConversion"/>
  </si>
  <si>
    <t>Extra Bacon</t>
    <phoneticPr fontId="4" type="noConversion"/>
  </si>
  <si>
    <t>B(10)</t>
    <phoneticPr fontId="12" type="noConversion"/>
  </si>
  <si>
    <t>C(10)</t>
    <phoneticPr fontId="4" type="noConversion"/>
  </si>
  <si>
    <t>520:00</t>
    <phoneticPr fontId="4" type="noConversion"/>
  </si>
  <si>
    <t>6(1)</t>
    <phoneticPr fontId="12" type="noConversion"/>
  </si>
  <si>
    <t>46</t>
    <phoneticPr fontId="12" type="noConversion"/>
  </si>
  <si>
    <t>xx</t>
    <phoneticPr fontId="12" type="noConversion"/>
  </si>
  <si>
    <t>BACON (260)</t>
    <phoneticPr fontId="4" type="noConversion"/>
  </si>
  <si>
    <t>C(10)</t>
    <phoneticPr fontId="12" type="noConversion"/>
  </si>
  <si>
    <t>Identity Authentication</t>
    <phoneticPr fontId="12" type="noConversion"/>
  </si>
  <si>
    <r>
      <t>000409 (</t>
    </r>
    <r>
      <rPr>
        <sz val="10"/>
        <rFont val="Microsoft YaHei"/>
        <family val="2"/>
        <charset val="134"/>
      </rPr>
      <t>云鼎科技</t>
    </r>
    <r>
      <rPr>
        <sz val="10"/>
        <rFont val="Verdana"/>
        <family val="2"/>
      </rPr>
      <t>)</t>
    </r>
    <phoneticPr fontId="4" type="noConversion"/>
  </si>
  <si>
    <r>
      <t>000528 (</t>
    </r>
    <r>
      <rPr>
        <sz val="10"/>
        <color theme="1"/>
        <rFont val="微软雅黑"/>
        <family val="2"/>
        <charset val="134"/>
      </rPr>
      <t>柳</t>
    </r>
    <r>
      <rPr>
        <sz val="10"/>
        <color theme="1"/>
        <rFont val="Verdana"/>
        <family val="2"/>
      </rPr>
      <t xml:space="preserve">  </t>
    </r>
    <r>
      <rPr>
        <sz val="10"/>
        <color theme="1"/>
        <rFont val="微软雅黑"/>
        <family val="2"/>
        <charset val="134"/>
      </rPr>
      <t>工</t>
    </r>
    <r>
      <rPr>
        <sz val="10"/>
        <color theme="1"/>
        <rFont val="Verdana"/>
        <family val="2"/>
      </rPr>
      <t>)</t>
    </r>
    <phoneticPr fontId="4" type="noConversion"/>
  </si>
  <si>
    <r>
      <t>600156 (</t>
    </r>
    <r>
      <rPr>
        <sz val="10"/>
        <color theme="1"/>
        <rFont val="Microsoft YaHei"/>
        <family val="2"/>
        <charset val="134"/>
      </rPr>
      <t>华升股份</t>
    </r>
    <r>
      <rPr>
        <sz val="10"/>
        <color theme="1"/>
        <rFont val="Verdana"/>
        <family val="2"/>
      </rPr>
      <t>)</t>
    </r>
    <phoneticPr fontId="4" type="noConversion"/>
  </si>
  <si>
    <t>12.10 - 01.08</t>
    <phoneticPr fontId="4" type="noConversion"/>
  </si>
  <si>
    <t>D(15)</t>
    <phoneticPr fontId="12" type="noConversion"/>
  </si>
  <si>
    <t>119:39</t>
    <phoneticPr fontId="4" type="noConversion"/>
  </si>
  <si>
    <t>Identity Protocol</t>
    <phoneticPr fontId="12" type="noConversion"/>
  </si>
  <si>
    <t>OpenID Connect (OIDC)</t>
    <phoneticPr fontId="12" type="noConversion"/>
  </si>
  <si>
    <r>
      <t>加入想读</t>
    </r>
    <r>
      <rPr>
        <sz val="9"/>
        <color theme="1"/>
        <rFont val="Verdana"/>
        <family val="2"/>
      </rPr>
      <t>: 7/9</t>
    </r>
    <phoneticPr fontId="12" type="noConversion"/>
  </si>
  <si>
    <t>396:30</t>
    <phoneticPr fontId="4" type="noConversion"/>
  </si>
  <si>
    <t>521:29</t>
    <phoneticPr fontId="4" type="noConversion"/>
  </si>
  <si>
    <t>149:39</t>
    <phoneticPr fontId="4" type="noConversion"/>
  </si>
  <si>
    <t>49:53</t>
    <phoneticPr fontId="4" type="noConversion"/>
  </si>
  <si>
    <t>99:46</t>
    <phoneticPr fontId="4" type="noConversion"/>
  </si>
  <si>
    <t>0</t>
    <phoneticPr fontId="12" type="noConversion"/>
  </si>
  <si>
    <t>21:22</t>
    <phoneticPr fontId="4" type="noConversion"/>
  </si>
  <si>
    <t>3:15</t>
    <phoneticPr fontId="4" type="noConversion"/>
  </si>
  <si>
    <t>16:02</t>
    <phoneticPr fontId="4" type="noConversion"/>
  </si>
  <si>
    <t>30:00</t>
    <phoneticPr fontId="4" type="noConversion"/>
  </si>
  <si>
    <t>37:25</t>
    <phoneticPr fontId="4" type="noConversion"/>
  </si>
  <si>
    <t>21:13</t>
    <phoneticPr fontId="4" type="noConversion"/>
  </si>
  <si>
    <t>8:38</t>
    <phoneticPr fontId="4" type="noConversion"/>
  </si>
  <si>
    <t>4(2)</t>
    <phoneticPr fontId="12" type="noConversion"/>
  </si>
  <si>
    <t>47</t>
    <phoneticPr fontId="12" type="noConversion"/>
  </si>
  <si>
    <t>经典怀旧榜</t>
    <phoneticPr fontId="12" type="noConversion"/>
  </si>
  <si>
    <t>xxx</t>
    <phoneticPr fontId="12" type="noConversion"/>
  </si>
  <si>
    <t>openssl</t>
    <phoneticPr fontId="12" type="noConversion"/>
  </si>
  <si>
    <t>2(6)</t>
    <phoneticPr fontId="12" type="noConversion"/>
  </si>
  <si>
    <t>OpenResty</t>
    <phoneticPr fontId="12" type="noConversion"/>
  </si>
  <si>
    <t>Web Platform</t>
    <phoneticPr fontId="12" type="noConversion"/>
  </si>
  <si>
    <t>Volume</t>
    <phoneticPr fontId="12" type="noConversion"/>
  </si>
  <si>
    <t>1(15)</t>
    <phoneticPr fontId="12" type="noConversion"/>
  </si>
  <si>
    <t>0/2 =&gt; 1</t>
    <phoneticPr fontId="12" type="noConversion"/>
  </si>
  <si>
    <t>EmptyDir</t>
    <phoneticPr fontId="12" type="noConversion"/>
  </si>
  <si>
    <t>365:01</t>
    <phoneticPr fontId="4" type="noConversion"/>
  </si>
  <si>
    <t>A(0)</t>
    <phoneticPr fontId="12" type="noConversion"/>
  </si>
  <si>
    <t>20:23</t>
    <phoneticPr fontId="4" type="noConversion"/>
  </si>
  <si>
    <t>385:24</t>
    <phoneticPr fontId="4" type="noConversion"/>
  </si>
  <si>
    <t>B(15)</t>
    <phoneticPr fontId="12" type="noConversion"/>
  </si>
  <si>
    <t>3(8)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</si>
</sst>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0_ "/>
    <numFmt numFmtId="177" formatCode="yyyy/mm"/>
    <numFmt numFmtId="178" formatCode="0.000_ "/>
    <numFmt numFmtId="179" formatCode="0.00_ "/>
    <numFmt numFmtId="180" formatCode="0.00_);[Red]\(0.00\)"/>
    <numFmt numFmtId="181" formatCode="0_ "/>
    <numFmt numFmtId="182" formatCode="0.0_ "/>
    <numFmt numFmtId="183" formatCode="0_);[Red]\(0\)"/>
    <numFmt numFmtId="184" formatCode="mm/dd"/>
  </numFmts>
  <fonts count="60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Verdana"/>
      <family val="2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Verdana"/>
      <family val="2"/>
    </font>
    <font>
      <b/>
      <sz val="14"/>
      <color theme="1"/>
      <name val="Verdana"/>
      <family val="2"/>
    </font>
    <font>
      <b/>
      <sz val="11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宋体"/>
      <family val="3"/>
      <charset val="134"/>
      <scheme val="minor"/>
    </font>
    <font>
      <sz val="10"/>
      <name val="Verdana"/>
      <family val="2"/>
    </font>
    <font>
      <sz val="9"/>
      <name val="宋体"/>
      <family val="3"/>
      <charset val="134"/>
      <scheme val="minor"/>
    </font>
    <font>
      <sz val="9"/>
      <color theme="1"/>
      <name val="Verdana"/>
      <family val="2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Verdana"/>
      <family val="2"/>
    </font>
    <font>
      <sz val="9"/>
      <color rgb="FFFF0000"/>
      <name val="Verdana"/>
      <family val="2"/>
    </font>
    <font>
      <b/>
      <sz val="9"/>
      <color theme="1"/>
      <name val="Verdana"/>
      <family val="2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sz val="8"/>
      <color theme="1"/>
      <name val="微软雅黑"/>
      <family val="2"/>
      <charset val="134"/>
    </font>
    <font>
      <sz val="8"/>
      <color theme="1"/>
      <name val="宋体"/>
      <family val="3"/>
      <charset val="134"/>
      <scheme val="minor"/>
    </font>
    <font>
      <sz val="9"/>
      <name val="Verdana"/>
      <family val="2"/>
    </font>
    <font>
      <b/>
      <sz val="9"/>
      <color rgb="FFFF0000"/>
      <name val="微软雅黑"/>
      <family val="2"/>
      <charset val="134"/>
    </font>
    <font>
      <b/>
      <sz val="9"/>
      <color rgb="FFFF0000"/>
      <name val="Verdana"/>
      <family val="2"/>
    </font>
    <font>
      <sz val="9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9"/>
      <color rgb="FF000000"/>
      <name val="Verdana"/>
      <family val="2"/>
    </font>
    <font>
      <b/>
      <sz val="8"/>
      <color theme="1"/>
      <name val="微软雅黑"/>
      <family val="2"/>
      <charset val="134"/>
    </font>
    <font>
      <sz val="9"/>
      <color rgb="FF000000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Verdana"/>
      <family val="2"/>
    </font>
    <font>
      <sz val="9"/>
      <color rgb="FF000000"/>
      <name val="Verdana"/>
      <family val="34"/>
    </font>
    <font>
      <sz val="9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9"/>
      <name val="Verdana"/>
      <family val="2"/>
    </font>
    <font>
      <sz val="9"/>
      <color theme="1"/>
      <name val="Microsoft YaHei"/>
      <family val="3"/>
      <charset val="134"/>
    </font>
    <font>
      <sz val="9"/>
      <color theme="1"/>
      <name val="Microsoft YaHei"/>
      <family val="2"/>
      <charset val="134"/>
    </font>
    <font>
      <sz val="9"/>
      <color theme="1"/>
      <name val="Wingdings"/>
      <charset val="2"/>
    </font>
    <font>
      <b/>
      <sz val="9"/>
      <color rgb="FF7030A0"/>
      <name val="Verdana"/>
      <family val="2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Microsoft YaHei"/>
      <family val="2"/>
      <charset val="134"/>
    </font>
    <font>
      <sz val="9"/>
      <color indexed="81"/>
      <name val="微软雅黑"/>
      <family val="2"/>
      <charset val="134"/>
    </font>
    <font>
      <b/>
      <sz val="10"/>
      <name val="Verdana"/>
      <family val="2"/>
    </font>
    <font>
      <sz val="9"/>
      <color theme="1"/>
      <name val="Verdana"/>
      <family val="3"/>
      <charset val="134"/>
    </font>
    <font>
      <sz val="9"/>
      <color rgb="FF0000FF"/>
      <name val="Verdana"/>
      <family val="2"/>
    </font>
    <font>
      <sz val="9"/>
      <color rgb="FFAB7942"/>
      <name val="Verdana"/>
      <family val="2"/>
    </font>
    <font>
      <sz val="9"/>
      <color rgb="FFFF0000"/>
      <name val="微软雅黑"/>
      <family val="2"/>
      <charset val="134"/>
    </font>
    <font>
      <sz val="8"/>
      <name val="微软雅黑"/>
      <family val="2"/>
      <charset val="134"/>
    </font>
    <font>
      <sz val="8"/>
      <color rgb="FF000000"/>
      <name val="Verdana"/>
      <family val="2"/>
    </font>
    <font>
      <sz val="9"/>
      <color rgb="FF0000FF"/>
      <name val="微软雅黑"/>
      <family val="2"/>
      <charset val="134"/>
    </font>
    <font>
      <b/>
      <sz val="10"/>
      <color rgb="FF0000FF"/>
      <name val="Verdana"/>
      <family val="2"/>
    </font>
    <font>
      <sz val="10"/>
      <name val="Microsoft YaHei"/>
      <family val="2"/>
      <charset val="134"/>
    </font>
    <font>
      <sz val="9"/>
      <color rgb="FF000000"/>
      <name val="Microsoft YaHei"/>
      <family val="34"/>
      <charset val="134"/>
    </font>
    <font>
      <sz val="9"/>
      <color rgb="FF000000"/>
      <name val="宋体"/>
      <family val="34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2" fillId="0" borderId="0"/>
    <xf numFmtId="0" fontId="1" fillId="0" borderId="0"/>
  </cellStyleXfs>
  <cellXfs count="357">
    <xf numFmtId="0" fontId="0" fillId="0" borderId="0" xfId="0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0" xfId="1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76" fontId="6" fillId="0" borderId="0" xfId="0" applyNumberFormat="1" applyFont="1" applyAlignment="1" applyProtection="1">
      <alignment horizontal="right" vertical="center"/>
      <protection hidden="1"/>
    </xf>
    <xf numFmtId="0" fontId="13" fillId="0" borderId="0" xfId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176" fontId="5" fillId="0" borderId="0" xfId="0" applyNumberFormat="1" applyFont="1" applyAlignment="1" applyProtection="1">
      <alignment horizontal="center" vertical="center"/>
      <protection hidden="1"/>
    </xf>
    <xf numFmtId="176" fontId="5" fillId="0" borderId="0" xfId="0" applyNumberFormat="1" applyFont="1" applyProtection="1">
      <alignment vertical="center"/>
      <protection hidden="1"/>
    </xf>
    <xf numFmtId="176" fontId="6" fillId="0" borderId="0" xfId="0" applyNumberFormat="1" applyFont="1" applyProtection="1">
      <alignment vertical="center"/>
      <protection hidden="1"/>
    </xf>
    <xf numFmtId="0" fontId="6" fillId="0" borderId="0" xfId="1" applyFont="1" applyAlignment="1">
      <alignment horizontal="center" vertical="center"/>
    </xf>
    <xf numFmtId="0" fontId="13" fillId="0" borderId="0" xfId="1" applyFont="1">
      <alignment vertical="center"/>
    </xf>
    <xf numFmtId="49" fontId="13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9" fillId="0" borderId="0" xfId="1" applyFont="1">
      <alignment vertical="center"/>
    </xf>
    <xf numFmtId="180" fontId="0" fillId="0" borderId="0" xfId="0" applyNumberFormat="1">
      <alignment vertical="center"/>
    </xf>
    <xf numFmtId="0" fontId="10" fillId="0" borderId="0" xfId="0" applyFont="1">
      <alignment vertical="center"/>
    </xf>
    <xf numFmtId="178" fontId="0" fillId="0" borderId="0" xfId="0" applyNumberFormat="1">
      <alignment vertical="center"/>
    </xf>
    <xf numFmtId="184" fontId="14" fillId="0" borderId="0" xfId="1" applyNumberFormat="1" applyFont="1" applyAlignment="1">
      <alignment horizontal="center" vertical="center"/>
    </xf>
    <xf numFmtId="179" fontId="9" fillId="0" borderId="0" xfId="0" applyNumberFormat="1" applyFont="1">
      <alignment vertical="center"/>
    </xf>
    <xf numFmtId="0" fontId="14" fillId="0" borderId="0" xfId="0" applyFont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1" applyFont="1" applyAlignment="1">
      <alignment horizontal="left" vertical="center"/>
    </xf>
    <xf numFmtId="0" fontId="13" fillId="10" borderId="1" xfId="1" applyFont="1" applyFill="1" applyBorder="1" applyAlignment="1">
      <alignment horizontal="center" vertical="center"/>
    </xf>
    <xf numFmtId="179" fontId="20" fillId="0" borderId="0" xfId="0" applyNumberFormat="1" applyFont="1">
      <alignment vertical="center"/>
    </xf>
    <xf numFmtId="179" fontId="11" fillId="0" borderId="0" xfId="0" applyNumberFormat="1" applyFont="1">
      <alignment vertical="center"/>
    </xf>
    <xf numFmtId="0" fontId="21" fillId="0" borderId="0" xfId="1" applyFont="1" applyAlignment="1">
      <alignment horizontal="center" vertical="center"/>
    </xf>
    <xf numFmtId="0" fontId="21" fillId="0" borderId="0" xfId="1" applyFont="1">
      <alignment vertical="center"/>
    </xf>
    <xf numFmtId="0" fontId="21" fillId="0" borderId="1" xfId="1" applyFont="1" applyBorder="1" applyAlignment="1">
      <alignment horizontal="center" vertical="center"/>
    </xf>
    <xf numFmtId="184" fontId="21" fillId="0" borderId="0" xfId="1" applyNumberFormat="1" applyFont="1" applyAlignment="1">
      <alignment horizontal="center" vertical="center"/>
    </xf>
    <xf numFmtId="0" fontId="21" fillId="12" borderId="0" xfId="1" applyFont="1" applyFill="1" applyAlignment="1">
      <alignment horizontal="center" vertical="center"/>
    </xf>
    <xf numFmtId="49" fontId="21" fillId="0" borderId="0" xfId="1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179" fontId="9" fillId="0" borderId="16" xfId="0" applyNumberFormat="1" applyFont="1" applyBorder="1">
      <alignment vertical="center"/>
    </xf>
    <xf numFmtId="179" fontId="9" fillId="0" borderId="17" xfId="0" applyNumberFormat="1" applyFont="1" applyBorder="1">
      <alignment vertical="center"/>
    </xf>
    <xf numFmtId="179" fontId="9" fillId="0" borderId="22" xfId="0" applyNumberFormat="1" applyFont="1" applyBorder="1">
      <alignment vertical="center"/>
    </xf>
    <xf numFmtId="179" fontId="9" fillId="0" borderId="18" xfId="0" applyNumberFormat="1" applyFont="1" applyBorder="1">
      <alignment vertical="center"/>
    </xf>
    <xf numFmtId="0" fontId="9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0" fontId="14" fillId="0" borderId="0" xfId="1" applyFont="1">
      <alignment vertical="center"/>
    </xf>
    <xf numFmtId="0" fontId="26" fillId="0" borderId="0" xfId="1" applyFont="1">
      <alignment vertical="center"/>
    </xf>
    <xf numFmtId="0" fontId="13" fillId="7" borderId="14" xfId="1" applyFont="1" applyFill="1" applyBorder="1" applyAlignment="1">
      <alignment horizontal="left" vertical="center"/>
    </xf>
    <xf numFmtId="0" fontId="27" fillId="2" borderId="9" xfId="1" applyFont="1" applyFill="1" applyBorder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21" fillId="6" borderId="0" xfId="1" applyFont="1" applyFill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27" fillId="2" borderId="1" xfId="1" applyFont="1" applyFill="1" applyBorder="1" applyAlignment="1">
      <alignment horizontal="center" vertical="center"/>
    </xf>
    <xf numFmtId="179" fontId="9" fillId="0" borderId="1" xfId="0" applyNumberFormat="1" applyFont="1" applyBorder="1">
      <alignment vertical="center"/>
    </xf>
    <xf numFmtId="0" fontId="23" fillId="9" borderId="1" xfId="1" applyFont="1" applyFill="1" applyBorder="1" applyAlignment="1">
      <alignment horizontal="center" vertical="center"/>
    </xf>
    <xf numFmtId="46" fontId="9" fillId="0" borderId="0" xfId="1" applyNumberFormat="1" applyFont="1">
      <alignment vertical="center"/>
    </xf>
    <xf numFmtId="178" fontId="9" fillId="0" borderId="0" xfId="0" applyNumberFormat="1" applyFont="1">
      <alignment vertical="center"/>
    </xf>
    <xf numFmtId="49" fontId="21" fillId="0" borderId="0" xfId="1" applyNumberFormat="1" applyFont="1">
      <alignment vertical="center"/>
    </xf>
    <xf numFmtId="0" fontId="18" fillId="0" borderId="1" xfId="0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20" fontId="21" fillId="0" borderId="0" xfId="1" applyNumberFormat="1" applyFont="1">
      <alignment vertical="center"/>
    </xf>
    <xf numFmtId="49" fontId="23" fillId="0" borderId="0" xfId="1" applyNumberFormat="1" applyFont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3" fillId="13" borderId="1" xfId="1" applyFont="1" applyFill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1" fillId="4" borderId="0" xfId="1" applyFont="1" applyFill="1" applyAlignment="1">
      <alignment horizontal="center" vertical="center"/>
    </xf>
    <xf numFmtId="183" fontId="13" fillId="0" borderId="0" xfId="1" applyNumberFormat="1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0" fontId="26" fillId="0" borderId="28" xfId="0" applyFont="1" applyBorder="1">
      <alignment vertical="center"/>
    </xf>
    <xf numFmtId="0" fontId="26" fillId="0" borderId="0" xfId="0" applyFont="1">
      <alignment vertical="center"/>
    </xf>
    <xf numFmtId="0" fontId="13" fillId="0" borderId="0" xfId="4" applyFont="1" applyAlignment="1">
      <alignment horizontal="center" vertical="center"/>
    </xf>
    <xf numFmtId="0" fontId="29" fillId="0" borderId="0" xfId="1" applyFont="1">
      <alignment vertical="center"/>
    </xf>
    <xf numFmtId="0" fontId="32" fillId="2" borderId="1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/>
    </xf>
    <xf numFmtId="0" fontId="32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9" fillId="17" borderId="12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/>
    </xf>
    <xf numFmtId="0" fontId="18" fillId="12" borderId="1" xfId="1" applyFont="1" applyFill="1" applyBorder="1" applyAlignment="1">
      <alignment horizontal="center" vertical="center"/>
    </xf>
    <xf numFmtId="0" fontId="21" fillId="4" borderId="0" xfId="1" applyFont="1" applyFill="1">
      <alignment vertical="center"/>
    </xf>
    <xf numFmtId="0" fontId="9" fillId="14" borderId="4" xfId="0" applyFont="1" applyFill="1" applyBorder="1">
      <alignment vertical="center"/>
    </xf>
    <xf numFmtId="0" fontId="6" fillId="13" borderId="2" xfId="1" applyFont="1" applyFill="1" applyBorder="1">
      <alignment vertical="center"/>
    </xf>
    <xf numFmtId="0" fontId="6" fillId="13" borderId="8" xfId="1" applyFont="1" applyFill="1" applyBorder="1">
      <alignment vertical="center"/>
    </xf>
    <xf numFmtId="0" fontId="6" fillId="13" borderId="3" xfId="1" applyFont="1" applyFill="1" applyBorder="1">
      <alignment vertical="center"/>
    </xf>
    <xf numFmtId="0" fontId="25" fillId="10" borderId="1" xfId="1" applyFont="1" applyFill="1" applyBorder="1" applyAlignment="1">
      <alignment horizontal="center" vertical="center"/>
    </xf>
    <xf numFmtId="0" fontId="43" fillId="10" borderId="1" xfId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44" fillId="0" borderId="0" xfId="0" applyFont="1">
      <alignment vertical="center"/>
    </xf>
    <xf numFmtId="0" fontId="9" fillId="2" borderId="1" xfId="0" applyFont="1" applyFill="1" applyBorder="1">
      <alignment vertical="center"/>
    </xf>
    <xf numFmtId="40" fontId="9" fillId="0" borderId="1" xfId="0" applyNumberFormat="1" applyFont="1" applyBorder="1">
      <alignment vertical="center"/>
    </xf>
    <xf numFmtId="3" fontId="9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4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1" fillId="0" borderId="0" xfId="0" applyFont="1">
      <alignment vertical="center"/>
    </xf>
    <xf numFmtId="176" fontId="9" fillId="0" borderId="1" xfId="0" applyNumberFormat="1" applyFont="1" applyBorder="1">
      <alignment vertical="center"/>
    </xf>
    <xf numFmtId="0" fontId="9" fillId="0" borderId="3" xfId="0" applyFont="1" applyBorder="1">
      <alignment vertical="center"/>
    </xf>
    <xf numFmtId="0" fontId="9" fillId="2" borderId="9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4" fontId="44" fillId="0" borderId="0" xfId="0" applyNumberFormat="1" applyFont="1">
      <alignment vertical="center"/>
    </xf>
    <xf numFmtId="0" fontId="16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78" fontId="20" fillId="0" borderId="1" xfId="0" applyNumberFormat="1" applyFont="1" applyBorder="1" applyAlignment="1">
      <alignment horizontal="center" vertical="center"/>
    </xf>
    <xf numFmtId="178" fontId="11" fillId="8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80" fontId="16" fillId="5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Border="1" applyAlignment="1" applyProtection="1">
      <alignment horizontal="right" vertical="center"/>
      <protection hidden="1"/>
    </xf>
    <xf numFmtId="177" fontId="9" fillId="2" borderId="1" xfId="0" applyNumberFormat="1" applyFont="1" applyFill="1" applyBorder="1" applyAlignment="1">
      <alignment horizontal="center" vertical="center"/>
    </xf>
    <xf numFmtId="180" fontId="9" fillId="0" borderId="1" xfId="0" applyNumberFormat="1" applyFont="1" applyBorder="1" applyAlignment="1" applyProtection="1">
      <alignment horizontal="right" vertical="center"/>
      <protection hidden="1"/>
    </xf>
    <xf numFmtId="176" fontId="9" fillId="0" borderId="1" xfId="0" applyNumberFormat="1" applyFont="1" applyBorder="1" applyAlignment="1" applyProtection="1">
      <alignment horizontal="right" vertical="center"/>
      <protection hidden="1"/>
    </xf>
    <xf numFmtId="0" fontId="18" fillId="15" borderId="12" xfId="4" applyFont="1" applyFill="1" applyBorder="1" applyAlignment="1">
      <alignment horizontal="center" vertical="center"/>
    </xf>
    <xf numFmtId="0" fontId="9" fillId="0" borderId="0" xfId="0" quotePrefix="1" applyFont="1">
      <alignment vertical="center"/>
    </xf>
    <xf numFmtId="176" fontId="9" fillId="0" borderId="0" xfId="0" applyNumberFormat="1" applyFont="1">
      <alignment vertical="center"/>
    </xf>
    <xf numFmtId="4" fontId="9" fillId="0" borderId="0" xfId="0" applyNumberFormat="1" applyFont="1">
      <alignment vertical="center"/>
    </xf>
    <xf numFmtId="0" fontId="13" fillId="4" borderId="0" xfId="4" applyFont="1" applyFill="1" applyAlignment="1">
      <alignment horizontal="left" vertical="center"/>
    </xf>
    <xf numFmtId="0" fontId="13" fillId="0" borderId="0" xfId="4" applyFont="1" applyAlignment="1">
      <alignment horizontal="left" vertical="center"/>
    </xf>
    <xf numFmtId="0" fontId="13" fillId="6" borderId="0" xfId="4" applyFont="1" applyFill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7" fillId="0" borderId="28" xfId="0" applyFont="1" applyBorder="1" applyAlignment="1">
      <alignment horizontal="left" vertical="center"/>
    </xf>
    <xf numFmtId="0" fontId="23" fillId="0" borderId="0" xfId="4" applyFont="1" applyAlignment="1">
      <alignment horizontal="left" vertical="center"/>
    </xf>
    <xf numFmtId="0" fontId="13" fillId="0" borderId="0" xfId="4" applyFont="1" applyAlignment="1">
      <alignment horizontal="left" vertical="center" wrapText="1"/>
    </xf>
    <xf numFmtId="0" fontId="38" fillId="0" borderId="0" xfId="4" applyFont="1" applyAlignment="1">
      <alignment horizontal="left" vertical="center"/>
    </xf>
    <xf numFmtId="0" fontId="23" fillId="4" borderId="0" xfId="4" applyFont="1" applyFill="1" applyAlignment="1">
      <alignment horizontal="left" vertical="center"/>
    </xf>
    <xf numFmtId="0" fontId="14" fillId="0" borderId="0" xfId="4" applyFont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23" fillId="6" borderId="0" xfId="4" applyFont="1" applyFill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41" fillId="0" borderId="0" xfId="4" applyFont="1" applyAlignment="1">
      <alignment horizontal="left" vertical="center"/>
    </xf>
    <xf numFmtId="49" fontId="13" fillId="0" borderId="0" xfId="4" applyNumberFormat="1" applyFont="1" applyAlignment="1">
      <alignment horizontal="left" vertical="center"/>
    </xf>
    <xf numFmtId="0" fontId="14" fillId="18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45" fillId="0" borderId="1" xfId="0" applyFont="1" applyBorder="1">
      <alignment vertical="center"/>
    </xf>
    <xf numFmtId="181" fontId="16" fillId="0" borderId="2" xfId="0" applyNumberFormat="1" applyFont="1" applyBorder="1" applyAlignment="1">
      <alignment horizontal="center" vertical="center"/>
    </xf>
    <xf numFmtId="0" fontId="45" fillId="0" borderId="2" xfId="0" applyFont="1" applyBorder="1">
      <alignment vertical="center"/>
    </xf>
    <xf numFmtId="0" fontId="1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horizontal="left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49" fillId="0" borderId="0" xfId="4" applyFont="1" applyAlignment="1">
      <alignment horizontal="left" vertical="center"/>
    </xf>
    <xf numFmtId="0" fontId="14" fillId="4" borderId="1" xfId="0" applyFont="1" applyFill="1" applyBorder="1" applyAlignment="1">
      <alignment horizontal="center" vertical="center" wrapText="1"/>
    </xf>
    <xf numFmtId="0" fontId="50" fillId="0" borderId="0" xfId="4" applyFont="1" applyAlignment="1">
      <alignment horizontal="left" vertical="center"/>
    </xf>
    <xf numFmtId="0" fontId="23" fillId="6" borderId="1" xfId="1" applyFont="1" applyFill="1" applyBorder="1" applyAlignment="1">
      <alignment horizontal="center" vertical="center"/>
    </xf>
    <xf numFmtId="0" fontId="51" fillId="0" borderId="0" xfId="4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178" fontId="11" fillId="0" borderId="2" xfId="0" applyNumberFormat="1" applyFont="1" applyBorder="1" applyAlignment="1">
      <alignment horizontal="center" vertical="center"/>
    </xf>
    <xf numFmtId="184" fontId="14" fillId="11" borderId="0" xfId="1" applyNumberFormat="1" applyFont="1" applyFill="1" applyAlignment="1">
      <alignment horizontal="center" vertical="center"/>
    </xf>
    <xf numFmtId="0" fontId="21" fillId="6" borderId="0" xfId="1" quotePrefix="1" applyFont="1" applyFill="1">
      <alignment vertical="center"/>
    </xf>
    <xf numFmtId="0" fontId="21" fillId="6" borderId="0" xfId="1" applyFont="1" applyFill="1" applyAlignment="1">
      <alignment horizontal="left" vertical="center"/>
    </xf>
    <xf numFmtId="0" fontId="32" fillId="4" borderId="0" xfId="0" applyFont="1" applyFill="1" applyAlignment="1">
      <alignment horizontal="left" vertical="center" wrapText="1"/>
    </xf>
    <xf numFmtId="49" fontId="21" fillId="4" borderId="0" xfId="1" applyNumberFormat="1" applyFont="1" applyFill="1">
      <alignment vertical="center"/>
    </xf>
    <xf numFmtId="183" fontId="13" fillId="6" borderId="0" xfId="1" applyNumberFormat="1" applyFont="1" applyFill="1" applyAlignment="1">
      <alignment horizontal="center" vertical="center"/>
    </xf>
    <xf numFmtId="184" fontId="14" fillId="4" borderId="0" xfId="1" applyNumberFormat="1" applyFont="1" applyFill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1" fillId="18" borderId="0" xfId="1" applyFont="1" applyFill="1">
      <alignment vertical="center"/>
    </xf>
    <xf numFmtId="0" fontId="23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49" fontId="13" fillId="9" borderId="1" xfId="1" applyNumberFormat="1" applyFont="1" applyFill="1" applyBorder="1" applyAlignment="1">
      <alignment horizontal="center" vertical="center"/>
    </xf>
    <xf numFmtId="49" fontId="13" fillId="0" borderId="0" xfId="1" applyNumberFormat="1" applyFont="1">
      <alignment vertical="center"/>
    </xf>
    <xf numFmtId="0" fontId="53" fillId="0" borderId="0" xfId="1" applyFont="1">
      <alignment vertical="center"/>
    </xf>
    <xf numFmtId="0" fontId="13" fillId="0" borderId="14" xfId="1" applyFont="1" applyBorder="1" applyAlignment="1">
      <alignment horizontal="left" vertical="center"/>
    </xf>
    <xf numFmtId="183" fontId="11" fillId="0" borderId="21" xfId="0" applyNumberFormat="1" applyFont="1" applyBorder="1" applyAlignment="1">
      <alignment horizontal="center" vertical="center"/>
    </xf>
    <xf numFmtId="182" fontId="11" fillId="0" borderId="1" xfId="0" applyNumberFormat="1" applyFont="1" applyBorder="1" applyAlignment="1">
      <alignment horizontal="center" vertical="center"/>
    </xf>
    <xf numFmtId="183" fontId="11" fillId="0" borderId="1" xfId="0" applyNumberFormat="1" applyFont="1" applyBorder="1" applyAlignment="1">
      <alignment horizontal="center" vertical="center"/>
    </xf>
    <xf numFmtId="183" fontId="11" fillId="0" borderId="20" xfId="0" applyNumberFormat="1" applyFont="1" applyBorder="1" applyAlignment="1">
      <alignment horizontal="center" vertical="center"/>
    </xf>
    <xf numFmtId="1" fontId="19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82" fontId="11" fillId="0" borderId="25" xfId="0" applyNumberFormat="1" applyFont="1" applyBorder="1" applyAlignment="1">
      <alignment horizontal="center" vertical="center"/>
    </xf>
    <xf numFmtId="180" fontId="9" fillId="0" borderId="0" xfId="0" applyNumberFormat="1" applyFont="1">
      <alignment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21" fillId="6" borderId="0" xfId="1" applyFont="1" applyFill="1">
      <alignment vertical="center"/>
    </xf>
    <xf numFmtId="0" fontId="14" fillId="18" borderId="1" xfId="0" applyFont="1" applyFill="1" applyBorder="1" applyAlignment="1">
      <alignment horizontal="center" vertical="center"/>
    </xf>
    <xf numFmtId="0" fontId="55" fillId="0" borderId="0" xfId="4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23" fillId="8" borderId="1" xfId="1" applyFont="1" applyFill="1" applyBorder="1" applyAlignment="1">
      <alignment horizontal="center" vertical="center"/>
    </xf>
    <xf numFmtId="178" fontId="20" fillId="0" borderId="2" xfId="0" applyNumberFormat="1" applyFont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178" fontId="11" fillId="6" borderId="2" xfId="0" applyNumberFormat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/>
    </xf>
    <xf numFmtId="49" fontId="53" fillId="6" borderId="1" xfId="1" applyNumberFormat="1" applyFont="1" applyFill="1" applyBorder="1" applyAlignment="1">
      <alignment horizontal="center" vertical="center" wrapText="1"/>
    </xf>
    <xf numFmtId="0" fontId="21" fillId="6" borderId="1" xfId="1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/>
    </xf>
    <xf numFmtId="183" fontId="25" fillId="0" borderId="0" xfId="1" applyNumberFormat="1" applyFont="1" applyAlignment="1">
      <alignment horizontal="center" vertical="center"/>
    </xf>
    <xf numFmtId="0" fontId="23" fillId="4" borderId="1" xfId="1" applyFont="1" applyFill="1" applyBorder="1" applyAlignment="1">
      <alignment horizontal="center" vertical="center"/>
    </xf>
    <xf numFmtId="0" fontId="56" fillId="8" borderId="1" xfId="0" applyFont="1" applyFill="1" applyBorder="1" applyAlignment="1">
      <alignment horizontal="center" vertical="center"/>
    </xf>
    <xf numFmtId="0" fontId="48" fillId="4" borderId="1" xfId="0" applyFont="1" applyFill="1" applyBorder="1" applyAlignment="1">
      <alignment horizontal="center" vertical="center"/>
    </xf>
    <xf numFmtId="178" fontId="11" fillId="14" borderId="1" xfId="0" applyNumberFormat="1" applyFont="1" applyFill="1" applyBorder="1" applyAlignment="1">
      <alignment horizontal="center" vertical="center"/>
    </xf>
    <xf numFmtId="178" fontId="11" fillId="6" borderId="1" xfId="0" applyNumberFormat="1" applyFont="1" applyFill="1" applyBorder="1" applyAlignment="1">
      <alignment horizontal="center" vertical="center"/>
    </xf>
    <xf numFmtId="178" fontId="20" fillId="8" borderId="1" xfId="0" applyNumberFormat="1" applyFont="1" applyFill="1" applyBorder="1" applyAlignment="1">
      <alignment horizontal="center" vertical="center"/>
    </xf>
    <xf numFmtId="178" fontId="20" fillId="6" borderId="1" xfId="0" applyNumberFormat="1" applyFont="1" applyFill="1" applyBorder="1" applyAlignment="1">
      <alignment horizontal="center" vertical="center"/>
    </xf>
    <xf numFmtId="49" fontId="17" fillId="0" borderId="0" xfId="1" applyNumberFormat="1" applyFont="1" applyAlignment="1">
      <alignment horizontal="center" vertical="center"/>
    </xf>
    <xf numFmtId="49" fontId="13" fillId="4" borderId="0" xfId="1" applyNumberFormat="1" applyFont="1" applyFill="1" applyAlignment="1">
      <alignment horizontal="center" vertical="center"/>
    </xf>
    <xf numFmtId="183" fontId="13" fillId="4" borderId="0" xfId="1" applyNumberFormat="1" applyFont="1" applyFill="1" applyAlignment="1">
      <alignment horizontal="center" vertical="center"/>
    </xf>
    <xf numFmtId="0" fontId="11" fillId="16" borderId="1" xfId="0" applyFont="1" applyFill="1" applyBorder="1" applyAlignment="1">
      <alignment horizontal="left" vertical="center"/>
    </xf>
    <xf numFmtId="183" fontId="23" fillId="0" borderId="0" xfId="1" applyNumberFormat="1" applyFont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23" fillId="0" borderId="1" xfId="1" applyFont="1" applyBorder="1">
      <alignment vertical="center"/>
    </xf>
    <xf numFmtId="49" fontId="13" fillId="0" borderId="0" xfId="1" applyNumberFormat="1" applyFont="1" applyAlignment="1">
      <alignment horizontal="center" vertical="center"/>
    </xf>
    <xf numFmtId="183" fontId="13" fillId="10" borderId="15" xfId="1" applyNumberFormat="1" applyFont="1" applyFill="1" applyBorder="1" applyAlignment="1">
      <alignment horizontal="center" vertical="center"/>
    </xf>
    <xf numFmtId="183" fontId="13" fillId="10" borderId="0" xfId="1" applyNumberFormat="1" applyFont="1" applyFill="1" applyAlignment="1">
      <alignment horizontal="center" vertical="center"/>
    </xf>
    <xf numFmtId="0" fontId="16" fillId="10" borderId="2" xfId="1" applyFont="1" applyFill="1" applyBorder="1">
      <alignment vertical="center"/>
    </xf>
    <xf numFmtId="0" fontId="16" fillId="10" borderId="8" xfId="1" applyFont="1" applyFill="1" applyBorder="1">
      <alignment vertical="center"/>
    </xf>
    <xf numFmtId="0" fontId="16" fillId="10" borderId="3" xfId="1" applyFont="1" applyFill="1" applyBorder="1">
      <alignment vertical="center"/>
    </xf>
    <xf numFmtId="0" fontId="18" fillId="10" borderId="2" xfId="1" applyFont="1" applyFill="1" applyBorder="1" applyAlignment="1">
      <alignment horizontal="left" vertical="center"/>
    </xf>
    <xf numFmtId="0" fontId="18" fillId="10" borderId="8" xfId="1" applyFont="1" applyFill="1" applyBorder="1" applyAlignment="1">
      <alignment horizontal="left" vertical="center"/>
    </xf>
    <xf numFmtId="0" fontId="18" fillId="10" borderId="3" xfId="1" applyFont="1" applyFill="1" applyBorder="1" applyAlignment="1">
      <alignment horizontal="left" vertical="center"/>
    </xf>
    <xf numFmtId="0" fontId="23" fillId="0" borderId="9" xfId="1" applyFont="1" applyBorder="1">
      <alignment vertical="center"/>
    </xf>
    <xf numFmtId="183" fontId="13" fillId="10" borderId="1" xfId="1" applyNumberFormat="1" applyFont="1" applyFill="1" applyBorder="1" applyAlignment="1">
      <alignment horizontal="center" vertical="center"/>
    </xf>
    <xf numFmtId="0" fontId="13" fillId="0" borderId="1" xfId="1" applyFont="1" applyBorder="1">
      <alignment vertical="center"/>
    </xf>
    <xf numFmtId="183" fontId="13" fillId="10" borderId="2" xfId="1" applyNumberFormat="1" applyFont="1" applyFill="1" applyBorder="1" applyAlignment="1">
      <alignment horizontal="center" vertical="center"/>
    </xf>
    <xf numFmtId="183" fontId="13" fillId="10" borderId="3" xfId="1" applyNumberFormat="1" applyFont="1" applyFill="1" applyBorder="1" applyAlignment="1">
      <alignment horizontal="center" vertical="center"/>
    </xf>
    <xf numFmtId="0" fontId="16" fillId="10" borderId="1" xfId="1" applyFont="1" applyFill="1" applyBorder="1" applyAlignment="1">
      <alignment horizontal="center" vertical="center"/>
    </xf>
    <xf numFmtId="183" fontId="13" fillId="10" borderId="15" xfId="1" applyNumberFormat="1" applyFont="1" applyFill="1" applyBorder="1" applyAlignment="1">
      <alignment horizontal="center" vertical="center" wrapText="1"/>
    </xf>
    <xf numFmtId="183" fontId="13" fillId="10" borderId="0" xfId="1" applyNumberFormat="1" applyFont="1" applyFill="1" applyAlignment="1">
      <alignment horizontal="center" vertical="center" wrapText="1"/>
    </xf>
    <xf numFmtId="0" fontId="8" fillId="10" borderId="1" xfId="1" applyFont="1" applyFill="1" applyBorder="1">
      <alignment vertical="center"/>
    </xf>
    <xf numFmtId="0" fontId="9" fillId="2" borderId="1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left" vertical="center"/>
    </xf>
    <xf numFmtId="0" fontId="13" fillId="0" borderId="3" xfId="1" applyFont="1" applyBorder="1" applyAlignment="1">
      <alignment horizontal="left" vertical="center"/>
    </xf>
    <xf numFmtId="49" fontId="13" fillId="0" borderId="2" xfId="1" applyNumberFormat="1" applyFont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49" fontId="9" fillId="3" borderId="1" xfId="1" applyNumberFormat="1" applyFont="1" applyFill="1" applyBorder="1" applyAlignment="1">
      <alignment horizontal="center" vertical="center"/>
    </xf>
    <xf numFmtId="49" fontId="9" fillId="3" borderId="8" xfId="1" applyNumberFormat="1" applyFont="1" applyFill="1" applyBorder="1" applyAlignment="1">
      <alignment horizontal="center" vertical="center"/>
    </xf>
    <xf numFmtId="49" fontId="9" fillId="3" borderId="3" xfId="1" applyNumberFormat="1" applyFont="1" applyFill="1" applyBorder="1" applyAlignment="1">
      <alignment horizontal="center" vertical="center"/>
    </xf>
    <xf numFmtId="0" fontId="13" fillId="0" borderId="2" xfId="1" applyFont="1" applyBorder="1">
      <alignment vertical="center"/>
    </xf>
    <xf numFmtId="0" fontId="13" fillId="0" borderId="3" xfId="1" applyFont="1" applyBorder="1">
      <alignment vertical="center"/>
    </xf>
    <xf numFmtId="0" fontId="11" fillId="6" borderId="1" xfId="1" applyFont="1" applyFill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/>
    </xf>
    <xf numFmtId="0" fontId="14" fillId="0" borderId="2" xfId="1" applyFont="1" applyBorder="1">
      <alignment vertical="center"/>
    </xf>
    <xf numFmtId="0" fontId="14" fillId="0" borderId="3" xfId="1" applyFont="1" applyBorder="1">
      <alignment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79" fontId="9" fillId="4" borderId="12" xfId="0" applyNumberFormat="1" applyFont="1" applyFill="1" applyBorder="1" applyAlignment="1" applyProtection="1">
      <alignment horizontal="right" vertical="center"/>
      <protection hidden="1"/>
    </xf>
    <xf numFmtId="179" fontId="9" fillId="4" borderId="4" xfId="0" applyNumberFormat="1" applyFont="1" applyFill="1" applyBorder="1" applyAlignment="1" applyProtection="1">
      <alignment horizontal="right" vertical="center"/>
      <protection hidden="1"/>
    </xf>
    <xf numFmtId="179" fontId="9" fillId="4" borderId="9" xfId="0" applyNumberFormat="1" applyFont="1" applyFill="1" applyBorder="1" applyAlignment="1" applyProtection="1">
      <alignment horizontal="right" vertical="center"/>
      <protection hidden="1"/>
    </xf>
    <xf numFmtId="0" fontId="45" fillId="0" borderId="23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9" fontId="16" fillId="0" borderId="31" xfId="0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8" fillId="15" borderId="1" xfId="4" applyFont="1" applyFill="1" applyBorder="1" applyAlignment="1">
      <alignment horizontal="center" vertical="center"/>
    </xf>
    <xf numFmtId="0" fontId="18" fillId="15" borderId="12" xfId="4" applyFont="1" applyFill="1" applyBorder="1" applyAlignment="1">
      <alignment horizontal="center" vertical="center"/>
    </xf>
    <xf numFmtId="0" fontId="18" fillId="15" borderId="2" xfId="4" applyFont="1" applyFill="1" applyBorder="1" applyAlignment="1">
      <alignment horizontal="center" vertical="center"/>
    </xf>
    <xf numFmtId="0" fontId="18" fillId="15" borderId="13" xfId="4" applyFont="1" applyFill="1" applyBorder="1" applyAlignment="1">
      <alignment horizontal="center" vertical="center"/>
    </xf>
    <xf numFmtId="0" fontId="18" fillId="0" borderId="1" xfId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39" fillId="16" borderId="2" xfId="0" applyFont="1" applyFill="1" applyBorder="1" applyAlignment="1">
      <alignment horizontal="center" vertical="center" wrapText="1"/>
    </xf>
    <xf numFmtId="0" fontId="39" fillId="16" borderId="8" xfId="0" applyFont="1" applyFill="1" applyBorder="1" applyAlignment="1">
      <alignment horizontal="center" vertical="center" wrapText="1"/>
    </xf>
    <xf numFmtId="0" fontId="39" fillId="16" borderId="3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center" vertical="center"/>
    </xf>
    <xf numFmtId="0" fontId="9" fillId="17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3" fillId="0" borderId="2" xfId="1" applyFont="1" applyFill="1" applyBorder="1">
      <alignment vertical="center"/>
    </xf>
    <xf numFmtId="0" fontId="23" fillId="0" borderId="3" xfId="1" applyFont="1" applyFill="1" applyBorder="1">
      <alignment vertical="center"/>
    </xf>
    <xf numFmtId="0" fontId="13" fillId="0" borderId="0" xfId="1" applyFont="1" applyFill="1">
      <alignment vertical="center"/>
    </xf>
    <xf numFmtId="0" fontId="6" fillId="0" borderId="0" xfId="1" applyFont="1" applyFill="1">
      <alignment vertical="center"/>
    </xf>
    <xf numFmtId="0" fontId="13" fillId="0" borderId="1" xfId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center" vertical="center"/>
    </xf>
    <xf numFmtId="0" fontId="9" fillId="0" borderId="0" xfId="1" applyFont="1" applyFill="1">
      <alignment vertical="center"/>
    </xf>
    <xf numFmtId="0" fontId="23" fillId="0" borderId="1" xfId="1" applyFont="1" applyFill="1" applyBorder="1">
      <alignment vertical="center"/>
    </xf>
    <xf numFmtId="183" fontId="13" fillId="0" borderId="0" xfId="1" applyNumberFormat="1" applyFont="1" applyFill="1" applyAlignment="1">
      <alignment horizontal="center" vertical="center"/>
    </xf>
    <xf numFmtId="0" fontId="13" fillId="0" borderId="1" xfId="1" applyFont="1" applyFill="1" applyBorder="1">
      <alignment vertical="center"/>
    </xf>
  </cellXfs>
  <cellStyles count="5"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常规" xfId="0" builtinId="0"/>
    <cellStyle name="常规 2" xfId="4" xr:uid="{F8FB7A7F-B16F-4D84-B314-2B024C682183}"/>
  </cellStyles>
  <dxfs count="0"/>
  <tableStyles count="0" defaultTableStyle="TableStyleMedium9" defaultPivotStyle="PivotStyleLight16"/>
  <colors>
    <mruColors>
      <color rgb="FFCCFFCC"/>
      <color rgb="FFFFFFCC"/>
      <color rgb="FFFFFF00"/>
      <color rgb="FF0000FF"/>
      <color rgb="FFAB7942"/>
      <color rgb="FFCCFF99"/>
      <color rgb="FF66FF66"/>
      <color rgb="FF000000"/>
      <color rgb="FFFFC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Finance!$T$2</c:f>
              <c:strCache>
                <c:ptCount val="1"/>
                <c:pt idx="0">
                  <c:v>Output</c:v>
                </c:pt>
              </c:strCache>
            </c:strRef>
          </c:tx>
          <c:cat>
            <c:numRef>
              <c:f>Finance!$S$3:$S$14</c:f>
              <c:numCache>
                <c:formatCode>yyyy/mm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Finance!$T$3:$T$14</c:f>
              <c:numCache>
                <c:formatCode>0.00_);[Red]\(0.00\)</c:formatCode>
                <c:ptCount val="12"/>
                <c:pt idx="0">
                  <c:v>17843</c:v>
                </c:pt>
                <c:pt idx="1">
                  <c:v>18479.14</c:v>
                </c:pt>
                <c:pt idx="2">
                  <c:v>13084.35</c:v>
                </c:pt>
                <c:pt idx="3">
                  <c:v>14499.29</c:v>
                </c:pt>
                <c:pt idx="4">
                  <c:v>14984.41</c:v>
                </c:pt>
                <c:pt idx="5">
                  <c:v>14058.51</c:v>
                </c:pt>
                <c:pt idx="6">
                  <c:v>16207.24</c:v>
                </c:pt>
                <c:pt idx="7">
                  <c:v>11741.96</c:v>
                </c:pt>
                <c:pt idx="8">
                  <c:v>17631.54</c:v>
                </c:pt>
                <c:pt idx="9">
                  <c:v>21354.400000000001</c:v>
                </c:pt>
                <c:pt idx="10">
                  <c:v>13152.16</c:v>
                </c:pt>
                <c:pt idx="11">
                  <c:v>8929.4699999999993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3-4B48-8708-8CC7C289CB7F}"/>
            </c:ext>
          </c:extLst>
        </c:ser>
        <c:ser>
          <c:idx val="1"/>
          <c:order val="1"/>
          <c:tx>
            <c:strRef>
              <c:f>Finance!$U$2</c:f>
              <c:strCache>
                <c:ptCount val="1"/>
                <c:pt idx="0">
                  <c:v>Average</c:v>
                </c:pt>
              </c:strCache>
            </c:strRef>
          </c:tx>
          <c:cat>
            <c:numRef>
              <c:f>Finance!$S$3:$S$14</c:f>
              <c:numCache>
                <c:formatCode>yyyy/mm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Finance!$U$3:$U$14</c:f>
              <c:numCache>
                <c:formatCode>#,##0.00_ </c:formatCode>
                <c:ptCount val="12"/>
                <c:pt idx="0">
                  <c:v>17843</c:v>
                </c:pt>
                <c:pt idx="1">
                  <c:v>18161.07</c:v>
                </c:pt>
                <c:pt idx="2">
                  <c:v>16468.829999999998</c:v>
                </c:pt>
                <c:pt idx="3">
                  <c:v>15976.445</c:v>
                </c:pt>
                <c:pt idx="4">
                  <c:v>15778.038</c:v>
                </c:pt>
                <c:pt idx="5">
                  <c:v>15491.449999999999</c:v>
                </c:pt>
                <c:pt idx="6">
                  <c:v>15593.705714285714</c:v>
                </c:pt>
                <c:pt idx="7">
                  <c:v>15112.237499999999</c:v>
                </c:pt>
                <c:pt idx="8">
                  <c:v>15392.16</c:v>
                </c:pt>
                <c:pt idx="9">
                  <c:v>15988.384</c:v>
                </c:pt>
                <c:pt idx="10">
                  <c:v>15730.545454545454</c:v>
                </c:pt>
                <c:pt idx="11">
                  <c:v>15163.789166666667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13-4B48-8708-8CC7C289C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87488"/>
        <c:axId val="90305664"/>
      </c:lineChart>
      <c:dateAx>
        <c:axId val="90287488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zh-CN"/>
          </a:p>
        </c:txPr>
        <c:crossAx val="90305664"/>
        <c:crosses val="autoZero"/>
        <c:auto val="1"/>
        <c:lblOffset val="100"/>
        <c:baseTimeUnit val="months"/>
      </c:dateAx>
      <c:valAx>
        <c:axId val="90305664"/>
        <c:scaling>
          <c:orientation val="minMax"/>
        </c:scaling>
        <c:delete val="0"/>
        <c:axPos val="l"/>
        <c:majorGridlines/>
        <c:minorGridlines/>
        <c:numFmt formatCode="0.00_);[Red]\(0.00\)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zh-CN"/>
          </a:p>
        </c:txPr>
        <c:crossAx val="902874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zh-CN"/>
        </a:p>
      </c:txPr>
    </c:legend>
    <c:plotVisOnly val="1"/>
    <c:dispBlanksAs val="gap"/>
    <c:showDLblsOverMax val="0"/>
  </c:chart>
  <c:spPr>
    <a:ln cmpd="sng"/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419100</xdr:colOff>
      <xdr:row>0</xdr:row>
      <xdr:rowOff>0</xdr:rowOff>
    </xdr:from>
    <xdr:to>
      <xdr:col>18</xdr:col>
      <xdr:colOff>419100</xdr:colOff>
      <xdr:row>0</xdr:row>
      <xdr:rowOff>12700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A9D66FA-77C5-4393-80AF-35703B2FAFF1}"/>
            </a:ext>
          </a:extLst>
        </xdr:cNvPr>
        <xdr:cNvSpPr/>
      </xdr:nvSpPr>
      <xdr:spPr>
        <a:xfrm>
          <a:off x="10775950" y="361950"/>
          <a:ext cx="571500" cy="1822450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4024</xdr:colOff>
      <xdr:row>1</xdr:row>
      <xdr:rowOff>2644</xdr:rowOff>
    </xdr:from>
    <xdr:to>
      <xdr:col>17</xdr:col>
      <xdr:colOff>5306</xdr:colOff>
      <xdr:row>11</xdr:row>
      <xdr:rowOff>2644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632212" y="173301"/>
          <a:ext cx="596594" cy="1781968"/>
        </a:xfrm>
        <a:prstGeom prst="rect">
          <a:avLst/>
        </a:prstGeom>
        <a:solidFill>
          <a:srgbClr val="33CC33">
            <a:alpha val="50000"/>
          </a:srgbClr>
        </a:solidFill>
        <a:ln>
          <a:solidFill>
            <a:srgbClr val="33CC3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0</xdr:colOff>
      <xdr:row>11</xdr:row>
      <xdr:rowOff>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DEF98EE-7943-4B7E-BCF6-A91E14FE0653}"/>
            </a:ext>
          </a:extLst>
        </xdr:cNvPr>
        <xdr:cNvSpPr/>
      </xdr:nvSpPr>
      <xdr:spPr>
        <a:xfrm>
          <a:off x="7112000" y="179917"/>
          <a:ext cx="635000" cy="1820333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419100</xdr:colOff>
      <xdr:row>0</xdr:row>
      <xdr:rowOff>0</xdr:rowOff>
    </xdr:from>
    <xdr:to>
      <xdr:col>18</xdr:col>
      <xdr:colOff>419100</xdr:colOff>
      <xdr:row>0</xdr:row>
      <xdr:rowOff>12700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BA97C41-E48F-4193-A2F8-8F7EB6838450}"/>
            </a:ext>
          </a:extLst>
        </xdr:cNvPr>
        <xdr:cNvSpPr/>
      </xdr:nvSpPr>
      <xdr:spPr>
        <a:xfrm>
          <a:off x="10233660" y="0"/>
          <a:ext cx="571500" cy="12700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9259</xdr:colOff>
      <xdr:row>1</xdr:row>
      <xdr:rowOff>7937</xdr:rowOff>
    </xdr:from>
    <xdr:to>
      <xdr:col>19</xdr:col>
      <xdr:colOff>263</xdr:colOff>
      <xdr:row>11</xdr:row>
      <xdr:rowOff>7937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B160E76-EF5E-4028-BAE2-ECD7A67322F9}"/>
            </a:ext>
          </a:extLst>
        </xdr:cNvPr>
        <xdr:cNvSpPr/>
      </xdr:nvSpPr>
      <xdr:spPr>
        <a:xfrm>
          <a:off x="11566259" y="187854"/>
          <a:ext cx="626004" cy="1820333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0</xdr:colOff>
      <xdr:row>11</xdr:row>
      <xdr:rowOff>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169A69B-7F19-455E-812B-37CF08952E1A}"/>
            </a:ext>
          </a:extLst>
        </xdr:cNvPr>
        <xdr:cNvSpPr/>
      </xdr:nvSpPr>
      <xdr:spPr>
        <a:xfrm>
          <a:off x="7112000" y="179917"/>
          <a:ext cx="635000" cy="1820333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11</xdr:row>
      <xdr:rowOff>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5C5AF8B-4903-47AF-9C9E-44F82F9D1EF2}"/>
            </a:ext>
          </a:extLst>
        </xdr:cNvPr>
        <xdr:cNvSpPr/>
      </xdr:nvSpPr>
      <xdr:spPr>
        <a:xfrm>
          <a:off x="11557000" y="179917"/>
          <a:ext cx="635000" cy="1820333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7938</xdr:colOff>
      <xdr:row>1</xdr:row>
      <xdr:rowOff>7937</xdr:rowOff>
    </xdr:from>
    <xdr:to>
      <xdr:col>10</xdr:col>
      <xdr:colOff>7938</xdr:colOff>
      <xdr:row>11</xdr:row>
      <xdr:rowOff>7937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DEC16A6-F034-4F46-AFF6-6D8DF7CF5750}"/>
            </a:ext>
          </a:extLst>
        </xdr:cNvPr>
        <xdr:cNvSpPr/>
      </xdr:nvSpPr>
      <xdr:spPr>
        <a:xfrm>
          <a:off x="5468938" y="178594"/>
          <a:ext cx="595313" cy="1781968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323530</xdr:colOff>
      <xdr:row>17</xdr:row>
      <xdr:rowOff>2377</xdr:rowOff>
    </xdr:from>
    <xdr:to>
      <xdr:col>24</xdr:col>
      <xdr:colOff>301942</xdr:colOff>
      <xdr:row>28</xdr:row>
      <xdr:rowOff>7938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136787</xdr:colOff>
      <xdr:row>27</xdr:row>
      <xdr:rowOff>219074</xdr:rowOff>
    </xdr:from>
    <xdr:to>
      <xdr:col>7</xdr:col>
      <xdr:colOff>136787</xdr:colOff>
      <xdr:row>29</xdr:row>
      <xdr:rowOff>59528</xdr:rowOff>
    </xdr:to>
    <xdr:cxnSp macro="">
      <xdr:nvCxnSpPr>
        <xdr:cNvPr id="18" name="直接连接符 22">
          <a:extLst>
            <a:ext uri="{FF2B5EF4-FFF2-40B4-BE49-F238E27FC236}">
              <a16:creationId xmlns:a16="http://schemas.microsoft.com/office/drawing/2014/main" id="{4C9AE3E1-FD75-4520-AD2F-79BECBE88C6A}"/>
            </a:ext>
          </a:extLst>
        </xdr:cNvPr>
        <xdr:cNvCxnSpPr/>
      </xdr:nvCxnSpPr>
      <xdr:spPr>
        <a:xfrm>
          <a:off x="7185287" y="5584824"/>
          <a:ext cx="0" cy="300829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806084</xdr:colOff>
      <xdr:row>30</xdr:row>
      <xdr:rowOff>220381</xdr:rowOff>
    </xdr:from>
    <xdr:to>
      <xdr:col>3</xdr:col>
      <xdr:colOff>806084</xdr:colOff>
      <xdr:row>32</xdr:row>
      <xdr:rowOff>57933</xdr:rowOff>
    </xdr:to>
    <xdr:cxnSp macro="">
      <xdr:nvCxnSpPr>
        <xdr:cNvPr id="2" name="直接连接符 22">
          <a:extLst>
            <a:ext uri="{FF2B5EF4-FFF2-40B4-BE49-F238E27FC236}">
              <a16:creationId xmlns:a16="http://schemas.microsoft.com/office/drawing/2014/main" id="{BEBC6278-E66B-4C31-AF06-236636E707A3}"/>
            </a:ext>
          </a:extLst>
        </xdr:cNvPr>
        <xdr:cNvCxnSpPr/>
      </xdr:nvCxnSpPr>
      <xdr:spPr>
        <a:xfrm>
          <a:off x="4203334" y="6276694"/>
          <a:ext cx="0" cy="297927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802999</xdr:colOff>
      <xdr:row>28</xdr:row>
      <xdr:rowOff>219058</xdr:rowOff>
    </xdr:from>
    <xdr:to>
      <xdr:col>4</xdr:col>
      <xdr:colOff>802999</xdr:colOff>
      <xdr:row>30</xdr:row>
      <xdr:rowOff>59776</xdr:rowOff>
    </xdr:to>
    <xdr:cxnSp macro="">
      <xdr:nvCxnSpPr>
        <xdr:cNvPr id="17" name="直接连接符 2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5113062" y="5814996"/>
          <a:ext cx="0" cy="301093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128006</xdr:colOff>
      <xdr:row>23</xdr:row>
      <xdr:rowOff>1583</xdr:rowOff>
    </xdr:from>
    <xdr:to>
      <xdr:col>3</xdr:col>
      <xdr:colOff>128006</xdr:colOff>
      <xdr:row>24</xdr:row>
      <xdr:rowOff>65085</xdr:rowOff>
    </xdr:to>
    <xdr:cxnSp macro="">
      <xdr:nvCxnSpPr>
        <xdr:cNvPr id="9" name="直接连接符 22">
          <a:extLst>
            <a:ext uri="{FF2B5EF4-FFF2-40B4-BE49-F238E27FC236}">
              <a16:creationId xmlns:a16="http://schemas.microsoft.com/office/drawing/2014/main" id="{DA8B2BD6-F1CF-4B5B-8FE4-CC869E373B0F}"/>
            </a:ext>
          </a:extLst>
        </xdr:cNvPr>
        <xdr:cNvCxnSpPr/>
      </xdr:nvCxnSpPr>
      <xdr:spPr>
        <a:xfrm>
          <a:off x="3525256" y="4446583"/>
          <a:ext cx="0" cy="29369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787914</xdr:colOff>
      <xdr:row>23</xdr:row>
      <xdr:rowOff>224340</xdr:rowOff>
    </xdr:from>
    <xdr:to>
      <xdr:col>2</xdr:col>
      <xdr:colOff>787914</xdr:colOff>
      <xdr:row>25</xdr:row>
      <xdr:rowOff>64024</xdr:rowOff>
    </xdr:to>
    <xdr:cxnSp macro="">
      <xdr:nvCxnSpPr>
        <xdr:cNvPr id="3" name="直接连接符 22">
          <a:extLst>
            <a:ext uri="{FF2B5EF4-FFF2-40B4-BE49-F238E27FC236}">
              <a16:creationId xmlns:a16="http://schemas.microsoft.com/office/drawing/2014/main" id="{C82C2ABE-4B5A-49E1-A3E1-FD1D8F1FC354}"/>
            </a:ext>
          </a:extLst>
        </xdr:cNvPr>
        <xdr:cNvCxnSpPr/>
      </xdr:nvCxnSpPr>
      <xdr:spPr>
        <a:xfrm>
          <a:off x="3272352" y="4669340"/>
          <a:ext cx="0" cy="300059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150226</xdr:colOff>
      <xdr:row>29</xdr:row>
      <xdr:rowOff>229167</xdr:rowOff>
    </xdr:from>
    <xdr:to>
      <xdr:col>2</xdr:col>
      <xdr:colOff>150226</xdr:colOff>
      <xdr:row>31</xdr:row>
      <xdr:rowOff>57940</xdr:rowOff>
    </xdr:to>
    <xdr:cxnSp macro="">
      <xdr:nvCxnSpPr>
        <xdr:cNvPr id="11" name="直接连接符 22">
          <a:extLst>
            <a:ext uri="{FF2B5EF4-FFF2-40B4-BE49-F238E27FC236}">
              <a16:creationId xmlns:a16="http://schemas.microsoft.com/office/drawing/2014/main" id="{EDA341BE-CD36-450C-8963-BCC67FF11809}"/>
            </a:ext>
          </a:extLst>
        </xdr:cNvPr>
        <xdr:cNvCxnSpPr/>
      </xdr:nvCxnSpPr>
      <xdr:spPr>
        <a:xfrm>
          <a:off x="2634664" y="6055292"/>
          <a:ext cx="0" cy="289148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126725</xdr:colOff>
      <xdr:row>24</xdr:row>
      <xdr:rowOff>223025</xdr:rowOff>
    </xdr:from>
    <xdr:to>
      <xdr:col>7</xdr:col>
      <xdr:colOff>126725</xdr:colOff>
      <xdr:row>26</xdr:row>
      <xdr:rowOff>63499</xdr:rowOff>
    </xdr:to>
    <xdr:cxnSp macro="">
      <xdr:nvCxnSpPr>
        <xdr:cNvPr id="8" name="直接连接符 22">
          <a:extLst>
            <a:ext uri="{FF2B5EF4-FFF2-40B4-BE49-F238E27FC236}">
              <a16:creationId xmlns:a16="http://schemas.microsoft.com/office/drawing/2014/main" id="{FD01771D-AA1D-4817-95A8-C912B2890EFB}"/>
            </a:ext>
          </a:extLst>
        </xdr:cNvPr>
        <xdr:cNvCxnSpPr/>
      </xdr:nvCxnSpPr>
      <xdr:spPr>
        <a:xfrm>
          <a:off x="7175225" y="4898213"/>
          <a:ext cx="0" cy="300849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131394</xdr:colOff>
      <xdr:row>25</xdr:row>
      <xdr:rowOff>216411</xdr:rowOff>
    </xdr:from>
    <xdr:to>
      <xdr:col>2</xdr:col>
      <xdr:colOff>131394</xdr:colOff>
      <xdr:row>27</xdr:row>
      <xdr:rowOff>53962</xdr:rowOff>
    </xdr:to>
    <xdr:cxnSp macro="">
      <xdr:nvCxnSpPr>
        <xdr:cNvPr id="10" name="直接连接符 22">
          <a:extLst>
            <a:ext uri="{FF2B5EF4-FFF2-40B4-BE49-F238E27FC236}">
              <a16:creationId xmlns:a16="http://schemas.microsoft.com/office/drawing/2014/main" id="{4FF647D7-4693-4494-9CF5-F3D128833D06}"/>
            </a:ext>
          </a:extLst>
        </xdr:cNvPr>
        <xdr:cNvCxnSpPr/>
      </xdr:nvCxnSpPr>
      <xdr:spPr>
        <a:xfrm>
          <a:off x="2615832" y="5121786"/>
          <a:ext cx="0" cy="297926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T930"/>
  <sheetViews>
    <sheetView zoomScale="120" zoomScaleNormal="120" workbookViewId="0">
      <selection activeCell="I19" sqref="I19"/>
    </sheetView>
  </sheetViews>
  <sheetFormatPr baseColWidth="10" defaultColWidth="9" defaultRowHeight="14"/>
  <cols>
    <col min="1" max="1" width="8.5" style="4" bestFit="1" customWidth="1"/>
    <col min="2" max="2" width="9.5" style="4" bestFit="1" customWidth="1"/>
    <col min="3" max="3" width="8.33203125" style="4" customWidth="1"/>
    <col min="4" max="4" width="7.5" style="4" bestFit="1" customWidth="1"/>
    <col min="5" max="5" width="9.83203125" style="4" bestFit="1" customWidth="1"/>
    <col min="6" max="6" width="8" style="4" customWidth="1"/>
    <col min="7" max="21" width="8.33203125" style="4" customWidth="1"/>
    <col min="22" max="23" width="7.83203125" style="4" customWidth="1"/>
    <col min="24" max="24" width="23.6640625" style="16" bestFit="1" customWidth="1"/>
    <col min="25" max="25" width="7.5" style="4" bestFit="1" customWidth="1"/>
    <col min="26" max="26" width="7.6640625" style="4" bestFit="1" customWidth="1"/>
    <col min="27" max="28" width="7.1640625" style="4" customWidth="1"/>
    <col min="29" max="16384" width="9" style="4"/>
  </cols>
  <sheetData>
    <row r="1" spans="1:46">
      <c r="A1" s="255" t="s">
        <v>2388</v>
      </c>
      <c r="B1" s="255"/>
      <c r="C1" s="255"/>
      <c r="D1" s="255"/>
      <c r="E1" s="255"/>
      <c r="F1"/>
      <c r="G1" s="255" t="s">
        <v>1139</v>
      </c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X1" s="14" t="s">
        <v>759</v>
      </c>
      <c r="Y1" s="14" t="s">
        <v>760</v>
      </c>
    </row>
    <row r="2" spans="1:46" ht="16">
      <c r="A2" s="256" t="s">
        <v>335</v>
      </c>
      <c r="B2" s="256"/>
      <c r="C2" s="256"/>
      <c r="D2" s="256" t="s">
        <v>336</v>
      </c>
      <c r="E2" s="256"/>
      <c r="F2"/>
      <c r="G2" s="52" t="s">
        <v>76</v>
      </c>
      <c r="H2" s="48" t="s">
        <v>28</v>
      </c>
      <c r="I2" s="48" t="s">
        <v>29</v>
      </c>
      <c r="J2" s="48" t="s">
        <v>258</v>
      </c>
      <c r="K2" s="48" t="s">
        <v>31</v>
      </c>
      <c r="L2" s="48" t="s">
        <v>32</v>
      </c>
      <c r="M2" s="56" t="s">
        <v>33</v>
      </c>
      <c r="N2" s="55" t="s">
        <v>76</v>
      </c>
      <c r="O2" s="48" t="s">
        <v>28</v>
      </c>
      <c r="P2" s="48" t="s">
        <v>29</v>
      </c>
      <c r="Q2" s="48" t="s">
        <v>30</v>
      </c>
      <c r="R2" s="48" t="s">
        <v>31</v>
      </c>
      <c r="S2" s="48" t="s">
        <v>32</v>
      </c>
      <c r="T2" s="48" t="s">
        <v>34</v>
      </c>
      <c r="X2" s="14" t="s">
        <v>328</v>
      </c>
      <c r="Y2" s="14" t="s">
        <v>334</v>
      </c>
    </row>
    <row r="3" spans="1:46" ht="14.25" customHeight="1">
      <c r="A3" s="47" t="s">
        <v>160</v>
      </c>
      <c r="B3" s="257" t="s">
        <v>2029</v>
      </c>
      <c r="C3" s="258"/>
      <c r="D3" s="172" t="s">
        <v>2844</v>
      </c>
      <c r="E3" s="78" t="s">
        <v>584</v>
      </c>
      <c r="F3"/>
      <c r="G3" s="235" t="s">
        <v>2848</v>
      </c>
      <c r="H3" s="236" t="s">
        <v>158</v>
      </c>
      <c r="I3" s="236"/>
      <c r="J3" s="236"/>
      <c r="K3" s="236"/>
      <c r="L3" s="236"/>
      <c r="M3" s="261"/>
      <c r="N3" s="270" t="s">
        <v>2805</v>
      </c>
      <c r="O3" s="271" t="s">
        <v>158</v>
      </c>
      <c r="P3" s="272"/>
      <c r="Q3" s="272"/>
      <c r="R3" s="272"/>
      <c r="S3" s="273"/>
      <c r="T3" s="262"/>
      <c r="X3" s="14" t="s">
        <v>329</v>
      </c>
      <c r="Y3" s="14" t="s">
        <v>335</v>
      </c>
    </row>
    <row r="4" spans="1:46" ht="14.25" customHeight="1">
      <c r="A4" s="47" t="s">
        <v>161</v>
      </c>
      <c r="B4" s="257" t="s">
        <v>2030</v>
      </c>
      <c r="C4" s="258"/>
      <c r="D4" s="223" t="s">
        <v>2840</v>
      </c>
      <c r="E4" s="79" t="s">
        <v>925</v>
      </c>
      <c r="F4"/>
      <c r="G4" s="235"/>
      <c r="H4" s="236"/>
      <c r="I4" s="236"/>
      <c r="J4" s="236"/>
      <c r="K4" s="236"/>
      <c r="L4" s="236"/>
      <c r="M4" s="261"/>
      <c r="N4" s="270"/>
      <c r="O4" s="274"/>
      <c r="P4" s="275"/>
      <c r="Q4" s="275"/>
      <c r="R4" s="275"/>
      <c r="S4" s="276"/>
      <c r="T4" s="263"/>
      <c r="X4" s="14" t="s">
        <v>330</v>
      </c>
      <c r="Y4" s="14" t="s">
        <v>337</v>
      </c>
    </row>
    <row r="5" spans="1:46" ht="14.25" customHeight="1">
      <c r="A5" s="47" t="s">
        <v>162</v>
      </c>
      <c r="B5" s="257" t="s">
        <v>2031</v>
      </c>
      <c r="C5" s="258"/>
      <c r="D5" s="223" t="s">
        <v>2852</v>
      </c>
      <c r="E5" s="79" t="s">
        <v>917</v>
      </c>
      <c r="F5"/>
      <c r="G5" s="235"/>
      <c r="H5" s="236"/>
      <c r="I5" s="236"/>
      <c r="J5" s="236"/>
      <c r="K5" s="236"/>
      <c r="L5" s="236"/>
      <c r="M5" s="261"/>
      <c r="N5" s="270"/>
      <c r="O5" s="274"/>
      <c r="P5" s="275"/>
      <c r="Q5" s="275"/>
      <c r="R5" s="275"/>
      <c r="S5" s="276"/>
      <c r="T5" s="263"/>
      <c r="X5" s="14" t="s">
        <v>331</v>
      </c>
      <c r="Y5" s="14" t="s">
        <v>337</v>
      </c>
    </row>
    <row r="6" spans="1:46" ht="14.25" customHeight="1">
      <c r="A6" s="47" t="s">
        <v>163</v>
      </c>
      <c r="B6" s="257" t="s">
        <v>2032</v>
      </c>
      <c r="C6" s="258"/>
      <c r="D6" s="223" t="s">
        <v>2835</v>
      </c>
      <c r="E6" s="78" t="s">
        <v>916</v>
      </c>
      <c r="F6"/>
      <c r="G6" s="235"/>
      <c r="H6" s="236"/>
      <c r="I6" s="236"/>
      <c r="J6" s="236"/>
      <c r="K6" s="236"/>
      <c r="L6" s="236"/>
      <c r="M6" s="261"/>
      <c r="N6" s="270"/>
      <c r="O6" s="274"/>
      <c r="P6" s="275"/>
      <c r="Q6" s="275"/>
      <c r="R6" s="275"/>
      <c r="S6" s="276"/>
      <c r="T6" s="263"/>
      <c r="X6" s="14" t="s">
        <v>332</v>
      </c>
      <c r="Y6" s="14" t="s">
        <v>336</v>
      </c>
    </row>
    <row r="7" spans="1:46" ht="14.25" customHeight="1">
      <c r="A7" s="47" t="s">
        <v>186</v>
      </c>
      <c r="B7" s="257" t="s">
        <v>2071</v>
      </c>
      <c r="C7" s="258"/>
      <c r="D7" s="209" t="s">
        <v>2794</v>
      </c>
      <c r="E7" s="78" t="s">
        <v>284</v>
      </c>
      <c r="F7"/>
      <c r="G7" s="235"/>
      <c r="H7" s="236"/>
      <c r="I7" s="236"/>
      <c r="J7" s="236"/>
      <c r="K7" s="236"/>
      <c r="L7" s="236"/>
      <c r="M7" s="261"/>
      <c r="N7" s="270"/>
      <c r="O7" s="274"/>
      <c r="P7" s="275"/>
      <c r="Q7" s="275"/>
      <c r="R7" s="275"/>
      <c r="S7" s="276"/>
      <c r="T7" s="263"/>
      <c r="X7" s="14" t="s">
        <v>333</v>
      </c>
      <c r="Y7" s="14"/>
    </row>
    <row r="8" spans="1:46" ht="14.25" customHeight="1">
      <c r="A8" s="47" t="s">
        <v>187</v>
      </c>
      <c r="B8" s="257" t="s">
        <v>2171</v>
      </c>
      <c r="C8" s="258"/>
      <c r="D8" s="223" t="s">
        <v>2807</v>
      </c>
      <c r="E8" s="78" t="s">
        <v>197</v>
      </c>
      <c r="F8"/>
      <c r="G8" s="235"/>
      <c r="H8" s="236"/>
      <c r="I8" s="236"/>
      <c r="J8" s="236"/>
      <c r="K8" s="236"/>
      <c r="L8" s="236"/>
      <c r="M8" s="261"/>
      <c r="N8" s="270"/>
      <c r="O8" s="277"/>
      <c r="P8" s="278"/>
      <c r="Q8" s="278"/>
      <c r="R8" s="278"/>
      <c r="S8" s="279"/>
      <c r="T8" s="263"/>
      <c r="X8" s="14"/>
    </row>
    <row r="9" spans="1:46">
      <c r="A9" s="58" t="s">
        <v>188</v>
      </c>
      <c r="B9" s="257" t="s">
        <v>2172</v>
      </c>
      <c r="C9" s="258"/>
      <c r="E9" s="17"/>
      <c r="F9"/>
      <c r="G9" s="235"/>
      <c r="H9" s="183" t="s">
        <v>2848</v>
      </c>
      <c r="I9" s="183" t="s">
        <v>2848</v>
      </c>
      <c r="J9" s="211" t="s">
        <v>2804</v>
      </c>
      <c r="K9" s="211" t="s">
        <v>2851</v>
      </c>
      <c r="L9" s="211" t="s">
        <v>2804</v>
      </c>
      <c r="M9" s="261"/>
      <c r="N9" s="270"/>
      <c r="O9" s="211" t="s">
        <v>2811</v>
      </c>
      <c r="P9" s="183" t="s">
        <v>2800</v>
      </c>
      <c r="Q9" s="211" t="s">
        <v>2817</v>
      </c>
      <c r="R9" s="211" t="s">
        <v>2817</v>
      </c>
      <c r="S9" s="211" t="s">
        <v>2817</v>
      </c>
      <c r="T9" s="263"/>
      <c r="X9" s="14"/>
    </row>
    <row r="10" spans="1:46">
      <c r="A10" s="47" t="s">
        <v>189</v>
      </c>
      <c r="B10" s="257" t="s">
        <v>2173</v>
      </c>
      <c r="C10" s="258"/>
      <c r="D10" s="8"/>
      <c r="E10" s="8"/>
      <c r="F10"/>
      <c r="G10" s="265" t="s">
        <v>171</v>
      </c>
      <c r="H10" s="265"/>
      <c r="I10" s="265"/>
      <c r="J10" s="265"/>
      <c r="K10" s="265"/>
      <c r="L10" s="265"/>
      <c r="M10" s="261"/>
      <c r="N10" s="266" t="s">
        <v>159</v>
      </c>
      <c r="O10" s="266"/>
      <c r="P10" s="266"/>
      <c r="Q10" s="266"/>
      <c r="R10" s="266"/>
      <c r="S10" s="267"/>
      <c r="T10" s="263"/>
      <c r="X10" s="14"/>
    </row>
    <row r="11" spans="1:46">
      <c r="A11" s="47" t="s">
        <v>190</v>
      </c>
      <c r="B11" s="257" t="s">
        <v>2174</v>
      </c>
      <c r="C11" s="258"/>
      <c r="E11" s="59"/>
      <c r="F11"/>
      <c r="G11" s="43">
        <v>4</v>
      </c>
      <c r="H11" s="43">
        <v>2</v>
      </c>
      <c r="I11" s="43">
        <v>2</v>
      </c>
      <c r="J11" s="43">
        <v>1</v>
      </c>
      <c r="K11" s="43">
        <v>3</v>
      </c>
      <c r="L11" s="43">
        <v>1</v>
      </c>
      <c r="M11" s="261"/>
      <c r="N11" s="63"/>
      <c r="O11" s="43"/>
      <c r="P11" s="43"/>
      <c r="Q11" s="43"/>
      <c r="R11" s="43"/>
      <c r="S11" s="43"/>
      <c r="T11" s="264"/>
      <c r="X11" s="14"/>
    </row>
    <row r="12" spans="1:46" ht="14.25" customHeight="1">
      <c r="A12" s="47" t="s">
        <v>177</v>
      </c>
      <c r="B12" s="257" t="s">
        <v>2175</v>
      </c>
      <c r="C12" s="258"/>
      <c r="E12" s="59"/>
      <c r="F12" s="8"/>
      <c r="G12" s="8"/>
      <c r="H12" s="16"/>
      <c r="I12" s="17"/>
      <c r="J12" s="17"/>
      <c r="K12" s="17"/>
      <c r="L12" s="17"/>
      <c r="M12" s="17"/>
      <c r="N12" s="17"/>
      <c r="O12" s="17"/>
      <c r="P12" s="17"/>
      <c r="Q12" s="14"/>
      <c r="R12" s="14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46" s="190" customFormat="1" ht="14.25" customHeight="1">
      <c r="A13" s="189" t="s">
        <v>191</v>
      </c>
      <c r="B13" s="259" t="s">
        <v>2178</v>
      </c>
      <c r="C13" s="260"/>
      <c r="F13" s="15"/>
      <c r="G13" s="231" t="s">
        <v>2828</v>
      </c>
      <c r="H13" s="231" t="s">
        <v>2829</v>
      </c>
      <c r="I13" s="231" t="s">
        <v>2830</v>
      </c>
      <c r="J13" s="231" t="s">
        <v>2832</v>
      </c>
      <c r="K13" s="15" t="s">
        <v>2833</v>
      </c>
      <c r="L13" s="230" t="s">
        <v>2834</v>
      </c>
      <c r="M13" s="230" t="s">
        <v>2831</v>
      </c>
      <c r="N13" s="15"/>
      <c r="O13" s="15"/>
      <c r="P13" s="15"/>
      <c r="Q13" s="15"/>
      <c r="R13" s="15"/>
      <c r="S13" s="15"/>
      <c r="T13" s="15"/>
    </row>
    <row r="14" spans="1:46" ht="14.25" customHeight="1">
      <c r="A14" s="47" t="s">
        <v>192</v>
      </c>
      <c r="B14" s="257" t="s">
        <v>2180</v>
      </c>
      <c r="C14" s="258"/>
      <c r="E14" s="17"/>
      <c r="X14" s="4"/>
    </row>
    <row r="15" spans="1:46" ht="14.25" customHeight="1">
      <c r="A15" s="13"/>
      <c r="E15" s="17"/>
      <c r="F15"/>
      <c r="G15" s="17"/>
      <c r="H15" s="8"/>
      <c r="I15" s="14"/>
      <c r="J15" s="17"/>
      <c r="K15" s="17"/>
      <c r="L15" s="17"/>
      <c r="N15" s="17"/>
      <c r="O15" s="17"/>
      <c r="P15" s="17"/>
      <c r="Q15" s="14"/>
      <c r="R15" s="14"/>
      <c r="S15" s="17"/>
      <c r="T15" s="17"/>
      <c r="U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46" ht="15" customHeight="1">
      <c r="A16" s="244" t="s">
        <v>2022</v>
      </c>
      <c r="B16" s="246"/>
      <c r="E16" s="241" t="s">
        <v>812</v>
      </c>
      <c r="F16" s="242"/>
      <c r="G16" s="243"/>
      <c r="I16" s="17"/>
      <c r="K16" s="252" t="s">
        <v>618</v>
      </c>
      <c r="L16" s="252"/>
      <c r="M16" s="252"/>
      <c r="N16" s="252"/>
      <c r="O16" s="252"/>
      <c r="P16" s="252"/>
      <c r="Q16" s="15"/>
      <c r="R16" s="75"/>
      <c r="V16" s="244" t="s">
        <v>154</v>
      </c>
      <c r="W16" s="245"/>
      <c r="X16" s="245"/>
      <c r="Y16" s="245"/>
      <c r="Z16" s="246"/>
      <c r="AA16" s="14"/>
      <c r="AB16" s="14"/>
      <c r="AC16" s="14"/>
      <c r="AD16" s="17"/>
      <c r="AE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15" customHeight="1">
      <c r="A17" s="96" t="s">
        <v>144</v>
      </c>
      <c r="B17" s="96" t="s">
        <v>2023</v>
      </c>
      <c r="E17" s="102">
        <v>1</v>
      </c>
      <c r="F17" s="346" t="s">
        <v>806</v>
      </c>
      <c r="G17" s="347"/>
      <c r="H17" s="348"/>
      <c r="I17" s="349"/>
      <c r="K17" s="248" t="s">
        <v>2420</v>
      </c>
      <c r="L17" s="248"/>
      <c r="M17" s="250" t="s">
        <v>2440</v>
      </c>
      <c r="N17" s="251"/>
      <c r="O17" s="248" t="s">
        <v>2038</v>
      </c>
      <c r="P17" s="248"/>
      <c r="Q17" s="14"/>
      <c r="R17" s="17"/>
      <c r="V17" s="62" t="s">
        <v>129</v>
      </c>
      <c r="W17" s="76" t="s">
        <v>137</v>
      </c>
      <c r="X17" s="62" t="s">
        <v>142</v>
      </c>
      <c r="Y17" s="62" t="s">
        <v>176</v>
      </c>
      <c r="Z17" s="62" t="s">
        <v>143</v>
      </c>
      <c r="AD17" s="8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s="17" customFormat="1" ht="15" customHeight="1">
      <c r="A18" s="21">
        <v>46009</v>
      </c>
      <c r="B18" s="65" t="s">
        <v>1265</v>
      </c>
      <c r="C18" s="4"/>
      <c r="D18" s="15"/>
      <c r="E18" s="102">
        <v>2</v>
      </c>
      <c r="F18" s="350" t="s">
        <v>77</v>
      </c>
      <c r="G18" s="351" t="s">
        <v>2847</v>
      </c>
      <c r="H18" s="352" t="s">
        <v>2850</v>
      </c>
      <c r="I18" s="353"/>
      <c r="K18" s="232">
        <v>27</v>
      </c>
      <c r="L18" s="232">
        <v>54</v>
      </c>
      <c r="M18" s="75">
        <v>9</v>
      </c>
      <c r="N18" s="75">
        <v>9</v>
      </c>
      <c r="O18" s="75">
        <v>100</v>
      </c>
      <c r="P18" s="75">
        <v>54</v>
      </c>
      <c r="Q18" s="4"/>
      <c r="R18" s="4"/>
      <c r="S18" s="14"/>
      <c r="T18" s="14"/>
      <c r="U18" s="14"/>
      <c r="V18" s="37">
        <v>2</v>
      </c>
      <c r="W18" s="77" t="s">
        <v>285</v>
      </c>
      <c r="X18" s="45">
        <v>1</v>
      </c>
      <c r="Y18" s="45">
        <v>2</v>
      </c>
      <c r="Z18" s="44">
        <v>3</v>
      </c>
      <c r="AA18" s="26"/>
      <c r="AB18" s="4"/>
      <c r="AC18" s="4"/>
      <c r="AD18" s="4"/>
    </row>
    <row r="19" spans="1:46" s="17" customFormat="1" ht="15" customHeight="1">
      <c r="A19" s="21">
        <v>46010</v>
      </c>
      <c r="B19" s="65" t="s">
        <v>1266</v>
      </c>
      <c r="C19" s="4"/>
      <c r="D19" s="15"/>
      <c r="E19" s="102">
        <v>3</v>
      </c>
      <c r="F19" s="354" t="s">
        <v>2092</v>
      </c>
      <c r="G19" s="354"/>
      <c r="H19" s="348"/>
      <c r="I19" s="355"/>
      <c r="K19" s="232">
        <v>11</v>
      </c>
      <c r="L19" s="232">
        <v>36</v>
      </c>
      <c r="M19" s="234">
        <v>11</v>
      </c>
      <c r="N19" s="234">
        <v>14</v>
      </c>
      <c r="O19" s="75">
        <v>24</v>
      </c>
      <c r="P19" s="75">
        <v>5</v>
      </c>
      <c r="Q19" s="4"/>
      <c r="R19" s="4"/>
      <c r="S19" s="14"/>
      <c r="T19" s="14"/>
      <c r="U19" s="14"/>
      <c r="V19" s="14"/>
      <c r="W19" s="14"/>
      <c r="X19" s="14"/>
      <c r="Y19" s="14"/>
      <c r="AH19" s="4"/>
    </row>
    <row r="20" spans="1:46" s="17" customFormat="1" ht="15" customHeight="1">
      <c r="A20" s="182">
        <v>46011</v>
      </c>
      <c r="B20" s="65" t="s">
        <v>1267</v>
      </c>
      <c r="C20" s="4"/>
      <c r="E20" s="102">
        <v>4</v>
      </c>
      <c r="F20" s="354" t="s">
        <v>697</v>
      </c>
      <c r="G20" s="354"/>
      <c r="H20" s="348"/>
      <c r="I20" s="355"/>
      <c r="K20" s="232">
        <v>8</v>
      </c>
      <c r="L20" s="232">
        <v>36</v>
      </c>
      <c r="M20" s="75">
        <v>0</v>
      </c>
      <c r="N20" s="75">
        <v>0</v>
      </c>
      <c r="O20" s="75">
        <v>0</v>
      </c>
      <c r="P20" s="75">
        <v>0</v>
      </c>
      <c r="Q20" s="4"/>
      <c r="R20" s="4"/>
      <c r="S20" s="14"/>
      <c r="T20" s="14"/>
      <c r="U20" s="14"/>
      <c r="V20" s="14"/>
      <c r="W20" s="14"/>
      <c r="X20" s="14"/>
      <c r="Y20" s="14"/>
      <c r="AH20" s="4"/>
      <c r="AI20" s="4"/>
    </row>
    <row r="21" spans="1:46" s="17" customFormat="1" ht="15" customHeight="1">
      <c r="A21" s="182">
        <v>46012</v>
      </c>
      <c r="B21" s="65" t="s">
        <v>1268</v>
      </c>
      <c r="C21" s="4"/>
      <c r="E21" s="218"/>
      <c r="F21" s="348"/>
      <c r="G21" s="354" t="s">
        <v>764</v>
      </c>
      <c r="H21" s="354"/>
      <c r="I21" s="353"/>
      <c r="K21" s="75">
        <v>37</v>
      </c>
      <c r="L21" s="75">
        <v>35</v>
      </c>
      <c r="M21" s="75">
        <v>0</v>
      </c>
      <c r="N21" s="75">
        <v>0</v>
      </c>
      <c r="O21" s="75">
        <v>396</v>
      </c>
      <c r="P21" s="75">
        <v>30</v>
      </c>
      <c r="Q21" s="4"/>
      <c r="R21" s="4"/>
    </row>
    <row r="22" spans="1:46" s="17" customFormat="1" ht="15" customHeight="1">
      <c r="A22" s="21">
        <v>46013</v>
      </c>
      <c r="B22" s="65" t="s">
        <v>1269</v>
      </c>
      <c r="C22" s="4"/>
      <c r="D22" s="15"/>
      <c r="E22" s="72"/>
      <c r="F22" s="348"/>
      <c r="G22" s="354" t="s">
        <v>814</v>
      </c>
      <c r="H22" s="354"/>
      <c r="I22" s="349"/>
      <c r="K22" s="75">
        <v>33</v>
      </c>
      <c r="L22" s="75">
        <v>58</v>
      </c>
      <c r="M22" s="75">
        <f>SUM(M18:M21)</f>
        <v>20</v>
      </c>
      <c r="N22" s="75">
        <f>SUM(N18:N21)</f>
        <v>23</v>
      </c>
      <c r="O22" s="75">
        <v>0</v>
      </c>
      <c r="P22" s="75">
        <v>0</v>
      </c>
      <c r="Q22" s="4"/>
      <c r="R22" s="239" t="s">
        <v>2381</v>
      </c>
      <c r="S22" s="240"/>
      <c r="T22" s="240"/>
    </row>
    <row r="23" spans="1:46" s="17" customFormat="1" ht="15" customHeight="1">
      <c r="A23" s="21">
        <v>46014</v>
      </c>
      <c r="B23" s="65" t="s">
        <v>1270</v>
      </c>
      <c r="C23" s="4"/>
      <c r="E23" s="72"/>
      <c r="F23" s="348"/>
      <c r="G23" s="354" t="s">
        <v>2101</v>
      </c>
      <c r="H23" s="354"/>
      <c r="I23" s="349"/>
      <c r="J23" s="75"/>
      <c r="K23" s="75">
        <v>0</v>
      </c>
      <c r="L23" s="75">
        <v>0</v>
      </c>
      <c r="M23" s="238" t="s">
        <v>2849</v>
      </c>
      <c r="N23" s="238"/>
      <c r="O23" s="75">
        <v>0</v>
      </c>
      <c r="P23" s="75">
        <v>0</v>
      </c>
      <c r="Q23" s="4"/>
      <c r="R23" s="75">
        <v>21</v>
      </c>
      <c r="S23" s="75">
        <v>26</v>
      </c>
      <c r="T23" s="75">
        <v>4</v>
      </c>
    </row>
    <row r="24" spans="1:46" s="17" customFormat="1" ht="15" customHeight="1">
      <c r="A24" s="21">
        <v>46015</v>
      </c>
      <c r="B24" s="65" t="s">
        <v>1271</v>
      </c>
      <c r="C24" s="4"/>
      <c r="E24" s="218"/>
      <c r="F24" s="348"/>
      <c r="G24" s="354" t="s">
        <v>2432</v>
      </c>
      <c r="H24" s="354"/>
      <c r="I24" s="349"/>
      <c r="K24" s="75">
        <v>0</v>
      </c>
      <c r="L24" s="75">
        <v>0</v>
      </c>
      <c r="M24" s="15"/>
      <c r="N24" s="15"/>
      <c r="O24" s="75">
        <v>0</v>
      </c>
      <c r="P24" s="75">
        <v>0</v>
      </c>
      <c r="Q24" s="4"/>
      <c r="R24" s="75">
        <v>35</v>
      </c>
      <c r="S24" s="75">
        <v>36</v>
      </c>
      <c r="T24" s="75">
        <v>7</v>
      </c>
    </row>
    <row r="25" spans="1:46" s="17" customFormat="1" ht="15" customHeight="1">
      <c r="A25" s="21">
        <v>46016</v>
      </c>
      <c r="B25" s="65" t="s">
        <v>1272</v>
      </c>
      <c r="C25" s="4"/>
      <c r="E25" s="72"/>
      <c r="F25" s="348"/>
      <c r="G25" s="354" t="s">
        <v>2414</v>
      </c>
      <c r="H25" s="354"/>
      <c r="I25" s="349"/>
      <c r="K25" s="75">
        <f>SUM(K18:K24)</f>
        <v>116</v>
      </c>
      <c r="L25" s="75">
        <f>SUM(L18:L24)</f>
        <v>219</v>
      </c>
      <c r="M25" s="15"/>
      <c r="N25" s="15"/>
      <c r="O25" s="75">
        <f>SUM(O18:O24)</f>
        <v>520</v>
      </c>
      <c r="P25" s="75">
        <f>SUM(P18:P24)</f>
        <v>89</v>
      </c>
      <c r="Q25" s="4"/>
      <c r="R25" s="222">
        <v>59</v>
      </c>
      <c r="S25" s="222">
        <v>29</v>
      </c>
      <c r="T25" s="75">
        <v>12</v>
      </c>
    </row>
    <row r="26" spans="1:46" s="17" customFormat="1" ht="15" customHeight="1">
      <c r="A26" s="21">
        <v>46017</v>
      </c>
      <c r="B26" s="65" t="s">
        <v>1202</v>
      </c>
      <c r="C26" s="4"/>
      <c r="E26" s="102">
        <v>5</v>
      </c>
      <c r="F26" s="356" t="s">
        <v>809</v>
      </c>
      <c r="G26" s="356"/>
      <c r="H26" s="349"/>
      <c r="I26" s="353"/>
      <c r="K26" s="238" t="s">
        <v>2818</v>
      </c>
      <c r="L26" s="238"/>
      <c r="M26" s="248" t="s">
        <v>77</v>
      </c>
      <c r="N26" s="248"/>
      <c r="O26" s="238" t="s">
        <v>2823</v>
      </c>
      <c r="P26" s="238"/>
      <c r="Q26" s="4"/>
      <c r="R26" s="75">
        <v>6</v>
      </c>
      <c r="S26" s="75">
        <v>34</v>
      </c>
      <c r="T26" s="75">
        <v>1</v>
      </c>
    </row>
    <row r="27" spans="1:46" s="17" customFormat="1" ht="15" customHeight="1">
      <c r="A27" s="182">
        <v>46018</v>
      </c>
      <c r="B27" s="65" t="s">
        <v>1273</v>
      </c>
      <c r="C27" s="4"/>
      <c r="E27" s="72"/>
      <c r="F27" s="349"/>
      <c r="G27" s="354" t="s">
        <v>2758</v>
      </c>
      <c r="H27" s="354"/>
      <c r="I27" s="353"/>
      <c r="K27" s="15" t="s">
        <v>2824</v>
      </c>
      <c r="L27" s="15" t="s">
        <v>2825</v>
      </c>
      <c r="M27" s="75">
        <v>45</v>
      </c>
      <c r="N27" s="75">
        <v>56</v>
      </c>
      <c r="O27" s="15"/>
      <c r="P27" s="15"/>
      <c r="Q27" s="4"/>
      <c r="R27" s="75">
        <v>28</v>
      </c>
      <c r="S27" s="75">
        <v>53</v>
      </c>
      <c r="T27" s="75">
        <v>6</v>
      </c>
    </row>
    <row r="28" spans="1:46" s="17" customFormat="1" ht="15" customHeight="1">
      <c r="A28" s="182">
        <v>46019</v>
      </c>
      <c r="B28" s="65" t="s">
        <v>1274</v>
      </c>
      <c r="C28" s="4"/>
      <c r="E28" s="72"/>
      <c r="F28" s="349"/>
      <c r="G28" s="354" t="s">
        <v>2429</v>
      </c>
      <c r="H28" s="354"/>
      <c r="I28" s="353"/>
      <c r="K28" s="15"/>
      <c r="L28" s="15" t="s">
        <v>2826</v>
      </c>
      <c r="M28" s="75">
        <v>45</v>
      </c>
      <c r="N28" s="75">
        <v>12</v>
      </c>
      <c r="O28" s="15"/>
      <c r="P28" s="4"/>
      <c r="Q28" s="4"/>
      <c r="R28" s="75">
        <v>39</v>
      </c>
      <c r="S28" s="75">
        <v>48</v>
      </c>
      <c r="T28" s="75">
        <v>8</v>
      </c>
    </row>
    <row r="29" spans="1:46" s="17" customFormat="1" ht="15" customHeight="1">
      <c r="A29" s="21">
        <v>46020</v>
      </c>
      <c r="B29" s="65" t="s">
        <v>1275</v>
      </c>
      <c r="C29" s="4"/>
      <c r="E29" s="102">
        <v>6</v>
      </c>
      <c r="F29" s="348"/>
      <c r="G29" s="353"/>
      <c r="H29" s="354" t="s">
        <v>803</v>
      </c>
      <c r="I29" s="354"/>
      <c r="K29" s="15"/>
      <c r="L29" s="15"/>
      <c r="M29" s="75">
        <v>45</v>
      </c>
      <c r="N29" s="75">
        <v>20</v>
      </c>
      <c r="O29" s="253" t="s">
        <v>2390</v>
      </c>
      <c r="P29" s="254"/>
      <c r="Q29" s="4"/>
      <c r="R29" s="75">
        <v>32</v>
      </c>
      <c r="S29" s="75">
        <v>13</v>
      </c>
      <c r="T29" s="75">
        <v>6</v>
      </c>
    </row>
    <row r="30" spans="1:46" s="17" customFormat="1" ht="15" customHeight="1">
      <c r="A30" s="21">
        <v>46021</v>
      </c>
      <c r="B30" s="65" t="s">
        <v>1276</v>
      </c>
      <c r="C30" s="4"/>
      <c r="D30" s="15"/>
      <c r="E30" s="102">
        <v>7</v>
      </c>
      <c r="F30" s="348"/>
      <c r="G30" s="353"/>
      <c r="H30" s="354" t="s">
        <v>804</v>
      </c>
      <c r="I30" s="354"/>
      <c r="K30" s="248" t="s">
        <v>2380</v>
      </c>
      <c r="L30" s="248"/>
      <c r="M30" s="75">
        <v>0</v>
      </c>
      <c r="N30" s="75">
        <v>0</v>
      </c>
      <c r="O30" s="253" t="s">
        <v>2389</v>
      </c>
      <c r="P30" s="254"/>
      <c r="Q30" s="4"/>
      <c r="R30" s="181">
        <v>27</v>
      </c>
      <c r="S30" s="181">
        <v>54</v>
      </c>
      <c r="T30" s="75">
        <v>6</v>
      </c>
    </row>
    <row r="31" spans="1:46" s="17" customFormat="1" ht="15" customHeight="1">
      <c r="A31" s="21">
        <v>46022</v>
      </c>
      <c r="B31" s="65" t="s">
        <v>1277</v>
      </c>
      <c r="C31" s="4"/>
      <c r="D31" s="15"/>
      <c r="E31" s="102">
        <v>8</v>
      </c>
      <c r="F31" s="354" t="s">
        <v>766</v>
      </c>
      <c r="G31" s="354"/>
      <c r="H31" s="349"/>
      <c r="I31" s="349"/>
      <c r="J31" s="4"/>
      <c r="K31" s="75">
        <v>24</v>
      </c>
      <c r="L31" s="75">
        <v>23</v>
      </c>
      <c r="M31" s="75">
        <v>0</v>
      </c>
      <c r="N31" s="75">
        <v>0</v>
      </c>
      <c r="O31" s="75">
        <v>6</v>
      </c>
      <c r="P31" s="75">
        <v>49</v>
      </c>
      <c r="Q31" s="4"/>
      <c r="R31" s="181">
        <v>11</v>
      </c>
      <c r="S31" s="181">
        <v>36</v>
      </c>
      <c r="T31" s="75">
        <v>2</v>
      </c>
    </row>
    <row r="32" spans="1:46" s="17" customFormat="1" ht="15" customHeight="1">
      <c r="A32" s="21">
        <v>46023</v>
      </c>
      <c r="B32" s="65" t="s">
        <v>1278</v>
      </c>
      <c r="C32" s="4"/>
      <c r="D32" s="15"/>
      <c r="E32" s="102">
        <v>9</v>
      </c>
      <c r="F32" s="354" t="s">
        <v>777</v>
      </c>
      <c r="G32" s="354"/>
      <c r="H32" s="349"/>
      <c r="I32" s="349"/>
      <c r="J32" s="14"/>
      <c r="K32" s="75">
        <v>1</v>
      </c>
      <c r="L32" s="75">
        <v>31</v>
      </c>
      <c r="M32" s="75">
        <v>0</v>
      </c>
      <c r="N32" s="75">
        <v>0</v>
      </c>
      <c r="O32" s="75">
        <v>24</v>
      </c>
      <c r="P32" s="75">
        <v>1</v>
      </c>
      <c r="Q32" s="4"/>
      <c r="R32" s="181">
        <v>8</v>
      </c>
      <c r="S32" s="181">
        <v>36</v>
      </c>
      <c r="T32" s="75">
        <v>2</v>
      </c>
    </row>
    <row r="33" spans="1:27" s="17" customFormat="1" ht="15" customHeight="1">
      <c r="A33" s="21">
        <v>46024</v>
      </c>
      <c r="B33" s="65" t="s">
        <v>1279</v>
      </c>
      <c r="C33" s="4"/>
      <c r="E33" s="72"/>
      <c r="F33" s="349"/>
      <c r="G33" s="354" t="s">
        <v>2421</v>
      </c>
      <c r="H33" s="354"/>
      <c r="I33" s="349"/>
      <c r="J33" s="8"/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4"/>
      <c r="R33" s="181">
        <v>37</v>
      </c>
      <c r="S33" s="181">
        <v>35</v>
      </c>
      <c r="T33" s="75">
        <v>8</v>
      </c>
      <c r="U33" s="4"/>
    </row>
    <row r="34" spans="1:27" s="17" customFormat="1" ht="15" customHeight="1">
      <c r="A34" s="21">
        <v>46025</v>
      </c>
      <c r="B34" s="65" t="s">
        <v>1280</v>
      </c>
      <c r="C34" s="4"/>
      <c r="D34" s="15"/>
      <c r="E34" s="102">
        <v>10</v>
      </c>
      <c r="F34" s="349"/>
      <c r="G34" s="349"/>
      <c r="H34" s="354" t="s">
        <v>807</v>
      </c>
      <c r="I34" s="354"/>
      <c r="J34" s="4"/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  <c r="Q34" s="4"/>
      <c r="R34" s="181">
        <v>33</v>
      </c>
      <c r="S34" s="181">
        <v>58</v>
      </c>
      <c r="T34" s="75">
        <v>7</v>
      </c>
      <c r="U34" s="4"/>
    </row>
    <row r="35" spans="1:27" s="17" customFormat="1" ht="15" customHeight="1">
      <c r="A35" s="21">
        <v>46026</v>
      </c>
      <c r="B35" s="65" t="s">
        <v>1281</v>
      </c>
      <c r="C35" s="4"/>
      <c r="D35" s="15"/>
      <c r="E35" s="102">
        <v>11</v>
      </c>
      <c r="F35" s="354" t="s">
        <v>2091</v>
      </c>
      <c r="G35" s="354"/>
      <c r="H35" s="348"/>
      <c r="I35" s="353"/>
      <c r="J35" s="14"/>
      <c r="K35" s="75">
        <f>SUM(K34:K34)</f>
        <v>0</v>
      </c>
      <c r="L35" s="75">
        <f>SUM(L31:L34)</f>
        <v>54</v>
      </c>
      <c r="M35" s="75">
        <v>0</v>
      </c>
      <c r="N35" s="75">
        <v>0</v>
      </c>
      <c r="O35" s="75">
        <f>SUM(O31:O34)</f>
        <v>30</v>
      </c>
      <c r="P35" s="75">
        <f>SUM(P31:P34)</f>
        <v>50</v>
      </c>
      <c r="Q35" s="4"/>
      <c r="R35" s="75">
        <v>24</v>
      </c>
      <c r="S35" s="75">
        <v>55</v>
      </c>
      <c r="T35" s="75">
        <v>5</v>
      </c>
    </row>
    <row r="36" spans="1:27" s="17" customFormat="1" ht="15" customHeight="1">
      <c r="A36" s="176">
        <v>46027</v>
      </c>
      <c r="B36" s="65" t="s">
        <v>1282</v>
      </c>
      <c r="C36" s="4"/>
      <c r="D36" s="15"/>
      <c r="E36" s="103">
        <v>12</v>
      </c>
      <c r="F36" s="348"/>
      <c r="G36" s="353"/>
      <c r="H36" s="346" t="s">
        <v>181</v>
      </c>
      <c r="I36" s="347"/>
      <c r="J36" s="4"/>
      <c r="K36" s="238" t="s">
        <v>2375</v>
      </c>
      <c r="L36" s="238"/>
      <c r="M36" s="75">
        <v>0</v>
      </c>
      <c r="N36" s="75">
        <v>0</v>
      </c>
      <c r="O36" s="238" t="s">
        <v>2568</v>
      </c>
      <c r="P36" s="238"/>
      <c r="Q36" s="4"/>
      <c r="R36" s="75">
        <v>23</v>
      </c>
      <c r="S36" s="75">
        <v>12</v>
      </c>
      <c r="T36" s="75">
        <v>5</v>
      </c>
    </row>
    <row r="37" spans="1:27" s="17" customFormat="1" ht="15" customHeight="1">
      <c r="A37" s="176">
        <v>46028</v>
      </c>
      <c r="B37" s="65" t="s">
        <v>1283</v>
      </c>
      <c r="C37" s="4"/>
      <c r="D37" s="15"/>
      <c r="E37" s="72"/>
      <c r="F37" s="348"/>
      <c r="G37" s="354" t="s">
        <v>2786</v>
      </c>
      <c r="H37" s="354"/>
      <c r="I37" s="348"/>
      <c r="J37" s="4"/>
      <c r="K37" s="248" t="s">
        <v>2030</v>
      </c>
      <c r="L37" s="248"/>
      <c r="M37" s="75">
        <v>0</v>
      </c>
      <c r="N37" s="75">
        <v>0</v>
      </c>
      <c r="O37" s="253" t="s">
        <v>2391</v>
      </c>
      <c r="P37" s="254"/>
      <c r="Q37" s="4"/>
      <c r="R37" s="75">
        <v>28</v>
      </c>
      <c r="S37" s="75">
        <v>6</v>
      </c>
      <c r="T37" s="75">
        <v>6</v>
      </c>
    </row>
    <row r="38" spans="1:27" s="17" customFormat="1" ht="15" customHeight="1">
      <c r="A38" s="176">
        <v>46029</v>
      </c>
      <c r="B38" s="65" t="s">
        <v>1284</v>
      </c>
      <c r="C38" s="4"/>
      <c r="D38" s="15"/>
      <c r="E38" s="72"/>
      <c r="F38" s="348"/>
      <c r="G38" s="354" t="s">
        <v>2430</v>
      </c>
      <c r="H38" s="354"/>
      <c r="I38" s="348"/>
      <c r="K38" s="75">
        <v>4</v>
      </c>
      <c r="L38" s="75">
        <v>33</v>
      </c>
      <c r="M38" s="75">
        <f>SUM(M27:M37)</f>
        <v>135</v>
      </c>
      <c r="N38" s="75">
        <f>SUM(N27:N37)</f>
        <v>88</v>
      </c>
      <c r="O38" s="253" t="s">
        <v>2389</v>
      </c>
      <c r="P38" s="254"/>
      <c r="Q38" s="4"/>
      <c r="R38" s="75">
        <v>21</v>
      </c>
      <c r="S38" s="75">
        <v>8</v>
      </c>
      <c r="T38" s="75">
        <v>4</v>
      </c>
      <c r="U38" s="4"/>
      <c r="V38" s="4"/>
      <c r="W38" s="4"/>
      <c r="X38" s="4"/>
      <c r="Y38" s="4"/>
    </row>
    <row r="39" spans="1:27" s="17" customFormat="1" ht="15" customHeight="1">
      <c r="A39" s="176">
        <v>46030</v>
      </c>
      <c r="B39" s="65" t="s">
        <v>1203</v>
      </c>
      <c r="C39" s="4"/>
      <c r="D39" s="15"/>
      <c r="E39" s="72"/>
      <c r="F39" s="348"/>
      <c r="G39" s="354" t="s">
        <v>811</v>
      </c>
      <c r="H39" s="354"/>
      <c r="I39" s="348"/>
      <c r="J39" s="4"/>
      <c r="K39" s="75">
        <v>15</v>
      </c>
      <c r="L39" s="75">
        <v>1</v>
      </c>
      <c r="M39" s="238" t="s">
        <v>2822</v>
      </c>
      <c r="N39" s="238"/>
      <c r="O39" s="75">
        <v>16</v>
      </c>
      <c r="P39" s="75">
        <v>16</v>
      </c>
      <c r="Q39" s="4"/>
      <c r="R39" s="75">
        <v>28</v>
      </c>
      <c r="S39" s="75">
        <v>44</v>
      </c>
      <c r="T39" s="75">
        <v>6</v>
      </c>
      <c r="U39" s="4"/>
    </row>
    <row r="40" spans="1:27" s="17" customFormat="1" ht="15" customHeight="1">
      <c r="A40" s="176">
        <v>46031</v>
      </c>
      <c r="B40" s="65" t="s">
        <v>1285</v>
      </c>
      <c r="C40" s="4"/>
      <c r="D40" s="15"/>
      <c r="E40" s="72"/>
      <c r="F40" s="348"/>
      <c r="G40" s="354" t="s">
        <v>808</v>
      </c>
      <c r="H40" s="354"/>
      <c r="I40" s="348"/>
      <c r="J40" s="4"/>
      <c r="K40" s="75">
        <v>0</v>
      </c>
      <c r="L40" s="75">
        <v>0</v>
      </c>
      <c r="M40" s="4"/>
      <c r="N40" s="4"/>
      <c r="O40" s="75">
        <v>15</v>
      </c>
      <c r="P40" s="75">
        <v>39</v>
      </c>
      <c r="Q40" s="4"/>
      <c r="R40" s="75">
        <v>30</v>
      </c>
      <c r="S40" s="75">
        <v>52</v>
      </c>
      <c r="T40" s="75">
        <v>6</v>
      </c>
      <c r="V40" s="4"/>
      <c r="W40" s="4"/>
      <c r="X40" s="4"/>
    </row>
    <row r="41" spans="1:27" s="17" customFormat="1" ht="15" customHeight="1">
      <c r="A41" s="176">
        <v>46032</v>
      </c>
      <c r="B41" s="65" t="s">
        <v>1286</v>
      </c>
      <c r="C41" s="4"/>
      <c r="D41" s="15"/>
      <c r="E41" s="72"/>
      <c r="F41" s="348"/>
      <c r="G41" s="354" t="s">
        <v>2097</v>
      </c>
      <c r="H41" s="354"/>
      <c r="I41" s="348"/>
      <c r="J41" s="4"/>
      <c r="K41" s="75">
        <v>0</v>
      </c>
      <c r="L41" s="75">
        <v>0</v>
      </c>
      <c r="M41" s="4"/>
      <c r="N41" s="4"/>
      <c r="O41" s="75">
        <v>1</v>
      </c>
      <c r="P41" s="75">
        <v>53</v>
      </c>
      <c r="Q41" s="4"/>
      <c r="R41" s="75">
        <v>9</v>
      </c>
      <c r="S41" s="75">
        <v>43</v>
      </c>
      <c r="T41" s="75">
        <v>2</v>
      </c>
      <c r="U41" s="4"/>
      <c r="V41" s="4"/>
      <c r="W41" s="4"/>
    </row>
    <row r="42" spans="1:27" s="17" customFormat="1" ht="15" customHeight="1">
      <c r="A42" s="176">
        <v>46033</v>
      </c>
      <c r="B42" s="65" t="s">
        <v>1287</v>
      </c>
      <c r="C42" s="4"/>
      <c r="D42" s="15"/>
      <c r="E42" s="27">
        <v>13</v>
      </c>
      <c r="F42" s="354" t="s">
        <v>175</v>
      </c>
      <c r="G42" s="354"/>
      <c r="H42" s="349"/>
      <c r="I42" s="349"/>
      <c r="J42" s="14"/>
      <c r="K42" s="75">
        <f>SUM(K39:K39)</f>
        <v>15</v>
      </c>
      <c r="L42" s="75">
        <f>SUM(L38:L41)</f>
        <v>34</v>
      </c>
      <c r="M42" s="4"/>
      <c r="N42" s="4"/>
      <c r="O42" s="75">
        <v>0</v>
      </c>
      <c r="P42" s="75">
        <v>0</v>
      </c>
      <c r="Q42" s="4"/>
      <c r="R42" s="75">
        <v>9</v>
      </c>
      <c r="S42" s="75">
        <v>42</v>
      </c>
      <c r="T42" s="75">
        <v>2</v>
      </c>
      <c r="U42" s="4"/>
      <c r="V42" s="4"/>
      <c r="W42" s="4"/>
      <c r="X42" s="4"/>
    </row>
    <row r="43" spans="1:27" s="17" customFormat="1" ht="15" customHeight="1">
      <c r="A43" s="176">
        <v>46034</v>
      </c>
      <c r="B43" s="65" t="s">
        <v>1288</v>
      </c>
      <c r="C43" s="4"/>
      <c r="D43" s="15"/>
      <c r="E43" s="27">
        <v>14</v>
      </c>
      <c r="F43" s="354" t="s">
        <v>706</v>
      </c>
      <c r="G43" s="354"/>
      <c r="H43" s="349"/>
      <c r="I43" s="349"/>
      <c r="J43" s="4"/>
      <c r="K43" s="238" t="s">
        <v>2310</v>
      </c>
      <c r="L43" s="238"/>
      <c r="M43" s="4"/>
      <c r="N43" s="4"/>
      <c r="O43" s="75">
        <v>0</v>
      </c>
      <c r="P43" s="75">
        <v>0</v>
      </c>
      <c r="Q43" s="4"/>
      <c r="R43" s="75">
        <f>SUM(R23:R42)</f>
        <v>508</v>
      </c>
      <c r="S43" s="75">
        <f>SUM(S23:S42)</f>
        <v>720</v>
      </c>
      <c r="T43" s="75">
        <f>SUM(T23:T42)</f>
        <v>105</v>
      </c>
      <c r="U43" s="4"/>
      <c r="V43" s="4"/>
      <c r="W43" s="4"/>
      <c r="Z43" s="4"/>
    </row>
    <row r="44" spans="1:27" s="17" customFormat="1" ht="15" customHeight="1">
      <c r="A44" s="176">
        <v>46035</v>
      </c>
      <c r="B44" s="65" t="s">
        <v>1289</v>
      </c>
      <c r="C44" s="4"/>
      <c r="D44" s="15"/>
      <c r="E44" s="27">
        <v>15</v>
      </c>
      <c r="F44" s="354" t="s">
        <v>2803</v>
      </c>
      <c r="G44" s="354"/>
      <c r="H44" s="348"/>
      <c r="I44" s="349"/>
      <c r="J44" s="4"/>
      <c r="K44" s="4"/>
      <c r="L44" s="4"/>
      <c r="M44" s="4"/>
      <c r="N44" s="4"/>
      <c r="O44" s="75">
        <v>0</v>
      </c>
      <c r="P44" s="75">
        <v>0</v>
      </c>
      <c r="Q44" s="4"/>
      <c r="R44" s="238" t="s">
        <v>2806</v>
      </c>
      <c r="S44" s="238"/>
      <c r="T44" s="75">
        <v>104</v>
      </c>
      <c r="U44" s="4"/>
      <c r="Z44" s="4"/>
      <c r="AA44" s="4"/>
    </row>
    <row r="45" spans="1:27" s="17" customFormat="1" ht="15" customHeight="1">
      <c r="A45" s="176">
        <v>46036</v>
      </c>
      <c r="B45" s="65" t="s">
        <v>1290</v>
      </c>
      <c r="C45" s="4"/>
      <c r="D45" s="15"/>
      <c r="E45" s="27">
        <v>16</v>
      </c>
      <c r="F45" s="237" t="s">
        <v>762</v>
      </c>
      <c r="G45" s="237"/>
      <c r="H45" s="4"/>
      <c r="I45" s="4"/>
      <c r="J45" s="4"/>
      <c r="K45" s="4"/>
      <c r="L45" s="4"/>
      <c r="M45" s="4"/>
      <c r="O45" s="75">
        <f>SUM(O39:O44)</f>
        <v>32</v>
      </c>
      <c r="P45" s="75">
        <f>SUM(P39:P44)</f>
        <v>108</v>
      </c>
      <c r="Q45" s="4"/>
      <c r="R45" s="4"/>
      <c r="S45" s="4"/>
      <c r="U45" s="4"/>
      <c r="V45" s="4"/>
      <c r="W45" s="4"/>
      <c r="X45" s="4"/>
      <c r="Y45" s="4"/>
      <c r="Z45" s="4"/>
      <c r="AA45" s="4"/>
    </row>
    <row r="46" spans="1:27" s="17" customFormat="1" ht="15" customHeight="1">
      <c r="A46" s="176">
        <v>46037</v>
      </c>
      <c r="B46" s="65" t="s">
        <v>1291</v>
      </c>
      <c r="C46" s="4"/>
      <c r="D46" s="15"/>
      <c r="E46" s="27">
        <v>17</v>
      </c>
      <c r="F46" s="356" t="s">
        <v>2098</v>
      </c>
      <c r="G46" s="356"/>
      <c r="H46" s="349"/>
      <c r="I46" s="349"/>
      <c r="J46" s="4"/>
      <c r="K46" s="4"/>
      <c r="L46" s="4"/>
      <c r="M46" s="4"/>
      <c r="N46" s="4"/>
      <c r="O46" s="238" t="s">
        <v>2431</v>
      </c>
      <c r="P46" s="238"/>
      <c r="Q46" s="16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s="17" customFormat="1" ht="15" customHeight="1">
      <c r="A47" s="176">
        <v>46038</v>
      </c>
      <c r="B47" s="65" t="s">
        <v>1292</v>
      </c>
      <c r="C47" s="4"/>
      <c r="D47" s="15"/>
      <c r="E47" s="27">
        <v>18</v>
      </c>
      <c r="F47" s="249" t="s">
        <v>196</v>
      </c>
      <c r="G47" s="249"/>
      <c r="H47" s="4"/>
      <c r="I47" s="4"/>
      <c r="J47" s="4"/>
      <c r="L47" s="4"/>
      <c r="M47" s="4"/>
      <c r="N47" s="4"/>
      <c r="O47" s="4"/>
      <c r="P47" s="4"/>
      <c r="Q47" s="16"/>
      <c r="R47" s="4"/>
      <c r="T47" s="4"/>
      <c r="U47" s="4"/>
      <c r="V47" s="4"/>
      <c r="W47" s="4"/>
      <c r="X47" s="4"/>
      <c r="Y47" s="4"/>
    </row>
    <row r="48" spans="1:27" s="17" customFormat="1" ht="15" customHeight="1">
      <c r="A48" s="176">
        <v>46039</v>
      </c>
      <c r="B48" s="65" t="s">
        <v>1293</v>
      </c>
      <c r="C48" s="4"/>
      <c r="D48" s="15"/>
      <c r="E48" s="72"/>
      <c r="F48" s="4"/>
      <c r="G48" s="237" t="s">
        <v>2421</v>
      </c>
      <c r="H48" s="237"/>
      <c r="I48" s="4"/>
      <c r="J48" s="4"/>
      <c r="K48" s="4"/>
      <c r="L48" s="4"/>
      <c r="M48" s="16"/>
      <c r="N48" s="14"/>
      <c r="O48" s="4"/>
      <c r="P48" s="4"/>
      <c r="Q48" s="16"/>
      <c r="R48" s="4"/>
      <c r="T48" s="4"/>
      <c r="U48" s="4"/>
      <c r="V48" s="4"/>
      <c r="W48" s="4"/>
      <c r="X48" s="4"/>
      <c r="Y48" s="4"/>
    </row>
    <row r="49" spans="1:30" s="17" customFormat="1" ht="15" customHeight="1">
      <c r="A49" s="176">
        <v>46040</v>
      </c>
      <c r="B49" s="65" t="s">
        <v>1294</v>
      </c>
      <c r="C49" s="4"/>
      <c r="D49" s="15"/>
      <c r="E49" s="72"/>
      <c r="F49" s="4"/>
      <c r="G49" s="237" t="s">
        <v>763</v>
      </c>
      <c r="H49" s="237"/>
      <c r="J49" s="4"/>
      <c r="K49" s="4"/>
      <c r="L49" s="4"/>
      <c r="M49" s="16"/>
      <c r="N49" s="14"/>
      <c r="O49" s="4"/>
      <c r="P49" s="4"/>
      <c r="Q49" s="16"/>
      <c r="R49" s="4"/>
      <c r="T49" s="4"/>
      <c r="U49" s="4"/>
      <c r="Z49" s="4"/>
      <c r="AA49" s="4"/>
      <c r="AB49" s="4"/>
      <c r="AC49" s="4"/>
      <c r="AD49" s="4"/>
    </row>
    <row r="50" spans="1:30" s="17" customFormat="1" ht="15" customHeight="1">
      <c r="A50" s="176">
        <v>46041</v>
      </c>
      <c r="B50" s="65" t="s">
        <v>1295</v>
      </c>
      <c r="C50" s="4"/>
      <c r="D50" s="15"/>
      <c r="E50" s="72"/>
      <c r="F50" s="14"/>
      <c r="G50" s="237" t="s">
        <v>805</v>
      </c>
      <c r="H50" s="237"/>
      <c r="I50" s="4"/>
      <c r="J50" s="4"/>
      <c r="K50" s="4"/>
      <c r="L50" s="4"/>
      <c r="M50" s="16"/>
      <c r="N50" s="14"/>
      <c r="O50" s="4"/>
      <c r="P50" s="4"/>
      <c r="Q50" s="16"/>
      <c r="R50" s="4"/>
      <c r="S50" s="4"/>
      <c r="T50" s="4"/>
      <c r="Z50" s="4"/>
      <c r="AA50" s="4"/>
      <c r="AB50" s="4"/>
      <c r="AC50" s="4"/>
      <c r="AD50" s="4"/>
    </row>
    <row r="51" spans="1:30" ht="15" customHeight="1">
      <c r="A51" s="176">
        <v>46042</v>
      </c>
      <c r="B51" s="65" t="s">
        <v>1296</v>
      </c>
      <c r="D51" s="15"/>
      <c r="E51" s="72"/>
      <c r="F51" s="14"/>
      <c r="G51" s="237" t="s">
        <v>1144</v>
      </c>
      <c r="H51" s="237"/>
      <c r="M51" s="16"/>
      <c r="N51" s="14"/>
      <c r="X51" s="4"/>
    </row>
    <row r="52" spans="1:30" ht="15" customHeight="1">
      <c r="A52" s="176">
        <v>46043</v>
      </c>
      <c r="B52" s="65" t="s">
        <v>1204</v>
      </c>
      <c r="D52" s="15"/>
      <c r="E52" s="27">
        <v>19</v>
      </c>
      <c r="H52" s="247" t="s">
        <v>810</v>
      </c>
      <c r="I52" s="237"/>
      <c r="M52" s="16"/>
      <c r="N52" s="14"/>
      <c r="X52" s="4"/>
    </row>
    <row r="53" spans="1:30" ht="15" customHeight="1">
      <c r="A53" s="176">
        <v>46044</v>
      </c>
      <c r="B53" s="65" t="s">
        <v>1297</v>
      </c>
      <c r="D53" s="15"/>
      <c r="E53" s="280" t="s">
        <v>851</v>
      </c>
      <c r="F53" s="268" t="s">
        <v>697</v>
      </c>
      <c r="G53" s="269"/>
      <c r="H53" s="14"/>
      <c r="M53" s="16"/>
      <c r="N53" s="14"/>
      <c r="X53" s="4"/>
    </row>
    <row r="54" spans="1:30" ht="15" customHeight="1">
      <c r="A54" s="176">
        <v>46045</v>
      </c>
      <c r="B54" s="65" t="s">
        <v>1298</v>
      </c>
      <c r="D54" s="15"/>
      <c r="E54" s="280"/>
      <c r="F54" s="249" t="s">
        <v>891</v>
      </c>
      <c r="G54" s="249"/>
      <c r="H54" s="14"/>
      <c r="M54" s="16"/>
      <c r="N54" s="14"/>
      <c r="X54" s="4"/>
    </row>
    <row r="55" spans="1:30" ht="15" customHeight="1">
      <c r="A55" s="176">
        <v>46046</v>
      </c>
      <c r="B55" s="65" t="s">
        <v>1299</v>
      </c>
      <c r="D55" s="15"/>
      <c r="E55" s="280"/>
      <c r="F55" s="249" t="s">
        <v>890</v>
      </c>
      <c r="G55" s="249"/>
      <c r="M55" s="14"/>
      <c r="X55" s="4"/>
    </row>
    <row r="56" spans="1:30" ht="15" customHeight="1">
      <c r="A56" s="176">
        <v>46047</v>
      </c>
      <c r="B56" s="65" t="s">
        <v>1300</v>
      </c>
      <c r="D56" s="15"/>
      <c r="E56" s="280"/>
      <c r="F56" s="249" t="s">
        <v>937</v>
      </c>
      <c r="G56" s="249"/>
      <c r="J56" s="17"/>
      <c r="R56" s="14"/>
      <c r="X56" s="4"/>
    </row>
    <row r="57" spans="1:30" ht="15" customHeight="1">
      <c r="A57" s="176">
        <v>46048</v>
      </c>
      <c r="B57" s="65" t="s">
        <v>1301</v>
      </c>
      <c r="D57" s="15"/>
      <c r="E57" s="280"/>
      <c r="F57" s="249" t="s">
        <v>764</v>
      </c>
      <c r="G57" s="249"/>
      <c r="J57" s="17"/>
      <c r="R57" s="14"/>
      <c r="X57" s="4"/>
    </row>
    <row r="58" spans="1:30" ht="15" customHeight="1">
      <c r="A58" s="176">
        <v>46049</v>
      </c>
      <c r="B58" s="65" t="s">
        <v>1302</v>
      </c>
      <c r="D58" s="15"/>
      <c r="E58" s="280"/>
      <c r="F58" s="249" t="s">
        <v>814</v>
      </c>
      <c r="G58" s="249"/>
      <c r="Q58" s="16"/>
      <c r="R58" s="14"/>
      <c r="X58" s="4"/>
    </row>
    <row r="59" spans="1:30" ht="15" customHeight="1">
      <c r="A59" s="176">
        <v>46050</v>
      </c>
      <c r="B59" s="65" t="s">
        <v>1303</v>
      </c>
      <c r="C59" s="65"/>
      <c r="D59" s="15"/>
      <c r="E59" s="280"/>
      <c r="F59" s="249" t="s">
        <v>196</v>
      </c>
      <c r="G59" s="249"/>
      <c r="Q59" s="16"/>
      <c r="R59" s="14"/>
      <c r="X59" s="4"/>
    </row>
    <row r="60" spans="1:30" ht="15" customHeight="1">
      <c r="A60" s="176">
        <v>46051</v>
      </c>
      <c r="B60" s="65" t="s">
        <v>1304</v>
      </c>
      <c r="C60" s="65"/>
      <c r="D60" s="15"/>
      <c r="E60" s="99"/>
      <c r="F60" s="100"/>
      <c r="G60" s="101"/>
      <c r="Q60" s="16"/>
      <c r="R60" s="14"/>
      <c r="X60" s="4"/>
    </row>
    <row r="61" spans="1:30" ht="15" customHeight="1">
      <c r="A61" s="21">
        <v>46052</v>
      </c>
      <c r="B61" s="65" t="s">
        <v>1305</v>
      </c>
      <c r="C61" s="65"/>
      <c r="D61" s="15"/>
      <c r="E61" s="27"/>
      <c r="F61" s="268" t="s">
        <v>2040</v>
      </c>
      <c r="G61" s="269"/>
      <c r="Q61" s="16"/>
      <c r="X61" s="4"/>
    </row>
    <row r="62" spans="1:30" ht="15" customHeight="1">
      <c r="A62" s="21">
        <v>46053</v>
      </c>
      <c r="B62" s="65" t="s">
        <v>1306</v>
      </c>
      <c r="C62" s="65"/>
      <c r="D62" s="15"/>
      <c r="E62" s="27"/>
      <c r="F62" s="268" t="s">
        <v>918</v>
      </c>
      <c r="G62" s="269"/>
      <c r="Q62" s="16"/>
      <c r="X62" s="4"/>
    </row>
    <row r="63" spans="1:30" ht="15" customHeight="1">
      <c r="A63" s="21">
        <v>46054</v>
      </c>
      <c r="B63" s="65" t="s">
        <v>1307</v>
      </c>
      <c r="C63" s="65"/>
      <c r="D63" s="15"/>
      <c r="E63" s="27"/>
      <c r="F63" s="268" t="s">
        <v>195</v>
      </c>
      <c r="G63" s="269"/>
      <c r="Q63" s="16"/>
      <c r="X63" s="4"/>
    </row>
    <row r="64" spans="1:30" ht="15" customHeight="1">
      <c r="A64" s="21">
        <v>46055</v>
      </c>
      <c r="B64" s="65" t="s">
        <v>1308</v>
      </c>
      <c r="C64" s="65"/>
      <c r="D64" s="15"/>
      <c r="E64" s="27"/>
      <c r="F64" s="268" t="s">
        <v>919</v>
      </c>
      <c r="G64" s="269"/>
      <c r="Q64" s="16"/>
      <c r="X64" s="4"/>
    </row>
    <row r="65" spans="1:24" ht="15" customHeight="1">
      <c r="A65" s="21">
        <v>46056</v>
      </c>
      <c r="B65" s="65" t="s">
        <v>1205</v>
      </c>
      <c r="C65" s="65"/>
      <c r="D65" s="15"/>
      <c r="E65" s="27"/>
      <c r="F65" s="268" t="s">
        <v>489</v>
      </c>
      <c r="G65" s="269"/>
      <c r="Q65" s="16"/>
      <c r="X65" s="4"/>
    </row>
    <row r="66" spans="1:24" ht="15" customHeight="1">
      <c r="A66" s="21">
        <v>46057</v>
      </c>
      <c r="B66" s="65" t="s">
        <v>1309</v>
      </c>
      <c r="C66" s="65"/>
      <c r="D66" s="15"/>
      <c r="E66" s="27"/>
      <c r="F66" s="268" t="s">
        <v>222</v>
      </c>
      <c r="G66" s="269"/>
      <c r="J66" s="8"/>
      <c r="Q66" s="16"/>
      <c r="X66" s="4"/>
    </row>
    <row r="67" spans="1:24" ht="15" customHeight="1">
      <c r="A67" s="21">
        <v>46058</v>
      </c>
      <c r="B67" s="65" t="s">
        <v>1310</v>
      </c>
      <c r="C67" s="65"/>
      <c r="D67" s="15"/>
      <c r="E67" s="27"/>
      <c r="F67" s="268" t="s">
        <v>257</v>
      </c>
      <c r="G67" s="269"/>
      <c r="J67" s="8"/>
      <c r="Q67" s="16"/>
      <c r="X67" s="4"/>
    </row>
    <row r="68" spans="1:24" ht="15" customHeight="1">
      <c r="A68" s="21">
        <v>46059</v>
      </c>
      <c r="B68" s="65" t="s">
        <v>1311</v>
      </c>
      <c r="C68" s="65"/>
      <c r="D68" s="15"/>
      <c r="E68" s="27"/>
      <c r="F68" s="268" t="s">
        <v>145</v>
      </c>
      <c r="G68" s="269"/>
      <c r="J68" s="8"/>
      <c r="R68" s="14"/>
      <c r="X68" s="4"/>
    </row>
    <row r="69" spans="1:24" ht="15" customHeight="1">
      <c r="A69" s="21">
        <v>46060</v>
      </c>
      <c r="B69" s="65" t="s">
        <v>1312</v>
      </c>
      <c r="C69" s="65"/>
      <c r="D69" s="15"/>
      <c r="E69" s="27"/>
      <c r="F69" s="268" t="s">
        <v>920</v>
      </c>
      <c r="G69" s="269"/>
      <c r="R69" s="14"/>
      <c r="X69" s="4"/>
    </row>
    <row r="70" spans="1:24" ht="15" customHeight="1">
      <c r="A70" s="21">
        <v>46061</v>
      </c>
      <c r="B70" s="65" t="s">
        <v>1313</v>
      </c>
      <c r="C70" s="65"/>
      <c r="D70" s="15"/>
      <c r="E70" s="27"/>
      <c r="F70" s="268" t="s">
        <v>921</v>
      </c>
      <c r="G70" s="269"/>
      <c r="R70" s="14"/>
      <c r="X70" s="4"/>
    </row>
    <row r="71" spans="1:24" ht="15" customHeight="1">
      <c r="A71" s="21">
        <v>46062</v>
      </c>
      <c r="B71" s="65" t="s">
        <v>1314</v>
      </c>
      <c r="C71" s="65"/>
      <c r="D71" s="15"/>
      <c r="E71" s="27"/>
      <c r="F71" s="268" t="s">
        <v>922</v>
      </c>
      <c r="G71" s="269"/>
      <c r="I71" s="8"/>
      <c r="R71" s="14"/>
      <c r="X71" s="4"/>
    </row>
    <row r="72" spans="1:24" ht="15" customHeight="1">
      <c r="A72" s="21">
        <v>46063</v>
      </c>
      <c r="B72" s="65" t="s">
        <v>1315</v>
      </c>
      <c r="C72" s="65"/>
      <c r="D72" s="15"/>
      <c r="E72" s="27"/>
      <c r="F72" s="268" t="s">
        <v>490</v>
      </c>
      <c r="G72" s="269"/>
      <c r="H72" s="14"/>
      <c r="I72" s="8"/>
      <c r="R72" s="14"/>
      <c r="X72" s="4"/>
    </row>
    <row r="73" spans="1:24" ht="15" customHeight="1">
      <c r="A73" s="21">
        <v>46064</v>
      </c>
      <c r="B73" s="65" t="s">
        <v>1316</v>
      </c>
      <c r="C73" s="65"/>
      <c r="D73" s="15"/>
      <c r="E73" s="27"/>
      <c r="F73" s="268" t="s">
        <v>180</v>
      </c>
      <c r="G73" s="269"/>
      <c r="R73" s="14"/>
      <c r="X73" s="4"/>
    </row>
    <row r="74" spans="1:24" ht="15" customHeight="1">
      <c r="A74" s="21">
        <v>46065</v>
      </c>
      <c r="B74" s="65" t="s">
        <v>1317</v>
      </c>
      <c r="C74" s="65"/>
      <c r="D74" s="15"/>
      <c r="E74" s="27"/>
      <c r="F74" s="268" t="s">
        <v>193</v>
      </c>
      <c r="G74" s="269"/>
      <c r="R74" s="14"/>
      <c r="X74" s="4"/>
    </row>
    <row r="75" spans="1:24" ht="15" customHeight="1">
      <c r="A75" s="21">
        <v>46066</v>
      </c>
      <c r="B75" s="65" t="s">
        <v>1318</v>
      </c>
      <c r="C75" s="65"/>
      <c r="D75" s="15"/>
      <c r="E75" s="27"/>
      <c r="F75" s="268" t="s">
        <v>223</v>
      </c>
      <c r="G75" s="269"/>
      <c r="H75" s="8"/>
      <c r="R75" s="14"/>
      <c r="X75" s="4"/>
    </row>
    <row r="76" spans="1:24" ht="15" customHeight="1">
      <c r="A76" s="21">
        <v>46067</v>
      </c>
      <c r="B76" s="65" t="s">
        <v>1319</v>
      </c>
      <c r="C76" s="65"/>
      <c r="D76" s="15"/>
      <c r="E76" s="27"/>
      <c r="F76" s="268" t="s">
        <v>200</v>
      </c>
      <c r="G76" s="269"/>
      <c r="H76" s="8"/>
      <c r="R76" s="14"/>
      <c r="X76" s="4"/>
    </row>
    <row r="77" spans="1:24" ht="15" customHeight="1">
      <c r="A77" s="21">
        <v>46068</v>
      </c>
      <c r="B77" s="65" t="s">
        <v>1320</v>
      </c>
      <c r="C77" s="65"/>
      <c r="D77" s="15"/>
      <c r="E77" s="27"/>
      <c r="F77" s="281" t="s">
        <v>923</v>
      </c>
      <c r="G77" s="282"/>
      <c r="H77" s="8"/>
      <c r="R77" s="14"/>
      <c r="X77" s="4"/>
    </row>
    <row r="78" spans="1:24" ht="15" customHeight="1">
      <c r="A78" s="21">
        <v>46069</v>
      </c>
      <c r="B78" s="65" t="s">
        <v>1206</v>
      </c>
      <c r="C78" s="65"/>
      <c r="D78" s="15"/>
      <c r="E78" s="27"/>
      <c r="F78" s="268" t="s">
        <v>236</v>
      </c>
      <c r="G78" s="269"/>
      <c r="R78" s="16"/>
      <c r="X78" s="4"/>
    </row>
    <row r="79" spans="1:24" ht="15" customHeight="1">
      <c r="A79" s="21">
        <v>46070</v>
      </c>
      <c r="B79" s="65" t="s">
        <v>1321</v>
      </c>
      <c r="C79" s="65"/>
      <c r="D79" s="15"/>
      <c r="E79" s="27"/>
      <c r="F79" s="281" t="s">
        <v>924</v>
      </c>
      <c r="G79" s="282"/>
      <c r="H79" s="14"/>
      <c r="R79" s="16"/>
      <c r="X79" s="4"/>
    </row>
    <row r="80" spans="1:24" ht="15" customHeight="1">
      <c r="A80" s="21">
        <v>46071</v>
      </c>
      <c r="B80" s="65" t="s">
        <v>1322</v>
      </c>
      <c r="C80" s="65"/>
      <c r="D80" s="15"/>
      <c r="E80" s="27"/>
      <c r="F80" s="268" t="s">
        <v>849</v>
      </c>
      <c r="G80" s="269"/>
      <c r="R80" s="16"/>
      <c r="X80" s="4"/>
    </row>
    <row r="81" spans="1:24" ht="15" customHeight="1">
      <c r="A81" s="21">
        <v>46072</v>
      </c>
      <c r="B81" s="65" t="s">
        <v>1323</v>
      </c>
      <c r="C81" s="65"/>
      <c r="D81" s="15"/>
      <c r="E81" s="27"/>
      <c r="F81" s="268" t="s">
        <v>198</v>
      </c>
      <c r="G81" s="269"/>
      <c r="R81" s="16"/>
      <c r="X81" s="4"/>
    </row>
    <row r="82" spans="1:24" ht="15" customHeight="1">
      <c r="A82" s="21">
        <v>46073</v>
      </c>
      <c r="B82" s="65" t="s">
        <v>1324</v>
      </c>
      <c r="C82" s="65"/>
      <c r="D82" s="15"/>
      <c r="E82" s="27"/>
      <c r="F82" s="268" t="s">
        <v>199</v>
      </c>
      <c r="G82" s="269"/>
      <c r="R82" s="16"/>
      <c r="X82" s="4"/>
    </row>
    <row r="83" spans="1:24" ht="15" customHeight="1">
      <c r="A83" s="21">
        <v>46074</v>
      </c>
      <c r="B83" s="65" t="s">
        <v>1325</v>
      </c>
      <c r="C83" s="65"/>
      <c r="D83" s="15"/>
      <c r="E83" s="27"/>
      <c r="F83" s="268" t="s">
        <v>229</v>
      </c>
      <c r="G83" s="269"/>
      <c r="R83" s="16"/>
      <c r="X83" s="4"/>
    </row>
    <row r="84" spans="1:24">
      <c r="A84" s="21">
        <v>46075</v>
      </c>
      <c r="B84" s="65" t="s">
        <v>1326</v>
      </c>
      <c r="C84" s="65"/>
      <c r="D84" s="15"/>
      <c r="E84" s="17"/>
      <c r="R84" s="16"/>
      <c r="X84" s="4"/>
    </row>
    <row r="85" spans="1:24">
      <c r="A85" s="21">
        <v>46076</v>
      </c>
      <c r="B85" s="65" t="s">
        <v>1327</v>
      </c>
      <c r="C85" s="65"/>
      <c r="D85" s="15"/>
      <c r="E85" s="8"/>
      <c r="F85" s="17"/>
      <c r="G85" s="14"/>
      <c r="R85" s="16"/>
      <c r="T85" s="14"/>
      <c r="X85" s="4"/>
    </row>
    <row r="86" spans="1:24">
      <c r="A86" s="21">
        <v>46077</v>
      </c>
      <c r="B86" s="65" t="s">
        <v>1328</v>
      </c>
      <c r="C86" s="65"/>
      <c r="D86" s="15"/>
      <c r="F86" s="17"/>
      <c r="R86" s="16"/>
      <c r="T86" s="14"/>
      <c r="X86" s="4"/>
    </row>
    <row r="87" spans="1:24">
      <c r="A87" s="21">
        <v>46078</v>
      </c>
      <c r="B87" s="65" t="s">
        <v>1329</v>
      </c>
      <c r="C87" s="65"/>
      <c r="D87" s="15"/>
      <c r="E87" s="8"/>
      <c r="R87" s="16"/>
      <c r="T87" s="14"/>
      <c r="X87" s="4"/>
    </row>
    <row r="88" spans="1:24">
      <c r="A88" s="21">
        <v>46079</v>
      </c>
      <c r="B88" s="65" t="s">
        <v>1330</v>
      </c>
      <c r="C88" s="65"/>
      <c r="D88" s="15"/>
      <c r="E88" s="8"/>
      <c r="R88" s="16"/>
      <c r="T88" s="14"/>
      <c r="X88" s="4"/>
    </row>
    <row r="89" spans="1:24">
      <c r="A89" s="21">
        <v>46080</v>
      </c>
      <c r="B89" s="65" t="s">
        <v>1331</v>
      </c>
      <c r="C89" s="65"/>
      <c r="D89" s="15"/>
      <c r="E89" s="15"/>
      <c r="F89" s="8"/>
      <c r="G89" s="8"/>
      <c r="H89" s="8"/>
      <c r="S89" s="16"/>
      <c r="U89" s="14"/>
      <c r="X89" s="4"/>
    </row>
    <row r="90" spans="1:24">
      <c r="A90" s="21">
        <v>46081</v>
      </c>
      <c r="B90" s="65" t="s">
        <v>1332</v>
      </c>
      <c r="C90" s="65"/>
      <c r="D90" s="15"/>
      <c r="E90" s="15"/>
      <c r="F90" s="8"/>
      <c r="G90" s="8"/>
      <c r="H90" s="8"/>
      <c r="S90" s="16"/>
      <c r="U90" s="14"/>
      <c r="X90" s="4"/>
    </row>
    <row r="91" spans="1:24">
      <c r="A91" s="21">
        <v>46082</v>
      </c>
      <c r="B91" s="65" t="s">
        <v>1207</v>
      </c>
      <c r="C91" s="65"/>
      <c r="D91" s="15"/>
      <c r="E91" s="15"/>
      <c r="F91" s="8"/>
      <c r="G91" s="8"/>
      <c r="H91" s="8"/>
      <c r="S91" s="16"/>
      <c r="U91" s="14"/>
      <c r="X91" s="4"/>
    </row>
    <row r="92" spans="1:24">
      <c r="A92" s="21">
        <v>46083</v>
      </c>
      <c r="B92" s="65" t="s">
        <v>1333</v>
      </c>
      <c r="C92" s="65"/>
      <c r="D92" s="15"/>
      <c r="E92" s="15"/>
      <c r="F92" s="8"/>
      <c r="S92" s="16"/>
      <c r="U92" s="14"/>
      <c r="X92" s="4"/>
    </row>
    <row r="93" spans="1:24">
      <c r="A93" s="21">
        <v>46084</v>
      </c>
      <c r="B93" s="65" t="s">
        <v>1334</v>
      </c>
      <c r="C93" s="65"/>
      <c r="D93" s="15"/>
      <c r="E93" s="15"/>
      <c r="F93" s="8"/>
      <c r="S93" s="16"/>
      <c r="U93" s="14"/>
      <c r="X93" s="4"/>
    </row>
    <row r="94" spans="1:24">
      <c r="A94" s="21">
        <v>46085</v>
      </c>
      <c r="B94" s="65" t="s">
        <v>1335</v>
      </c>
      <c r="C94" s="65"/>
      <c r="D94" s="15"/>
      <c r="E94" s="15"/>
      <c r="F94" s="8"/>
      <c r="G94" s="8"/>
      <c r="S94" s="16"/>
      <c r="U94" s="14"/>
      <c r="X94" s="4"/>
    </row>
    <row r="95" spans="1:24">
      <c r="A95" s="21">
        <v>46086</v>
      </c>
      <c r="B95" s="65" t="s">
        <v>1336</v>
      </c>
      <c r="C95" s="65"/>
      <c r="F95" s="15"/>
      <c r="G95" s="15"/>
      <c r="H95" s="8"/>
      <c r="I95" s="8"/>
      <c r="J95" s="8"/>
      <c r="U95" s="16"/>
      <c r="W95" s="14"/>
      <c r="X95" s="4"/>
    </row>
    <row r="96" spans="1:24">
      <c r="A96" s="21">
        <v>46087</v>
      </c>
      <c r="B96" s="65" t="s">
        <v>1337</v>
      </c>
      <c r="C96" s="65"/>
      <c r="F96" s="15"/>
      <c r="G96" s="15"/>
      <c r="H96" s="8"/>
      <c r="I96" s="8"/>
      <c r="J96" s="8"/>
      <c r="U96" s="16"/>
      <c r="W96" s="14"/>
      <c r="X96" s="4"/>
    </row>
    <row r="97" spans="1:24">
      <c r="A97" s="21">
        <v>46088</v>
      </c>
      <c r="B97" s="65" t="s">
        <v>1338</v>
      </c>
      <c r="C97" s="65"/>
      <c r="F97" s="15"/>
      <c r="G97" s="15"/>
      <c r="H97" s="8"/>
      <c r="I97" s="8"/>
      <c r="U97" s="16"/>
      <c r="W97" s="14"/>
      <c r="X97" s="4"/>
    </row>
    <row r="98" spans="1:24">
      <c r="A98" s="21">
        <v>46089</v>
      </c>
      <c r="B98" s="65" t="s">
        <v>1339</v>
      </c>
      <c r="C98" s="65"/>
      <c r="F98" s="15"/>
      <c r="G98" s="15"/>
      <c r="H98" s="8"/>
      <c r="I98" s="8"/>
      <c r="J98" s="8"/>
      <c r="U98" s="16"/>
      <c r="W98" s="14"/>
      <c r="X98" s="4"/>
    </row>
    <row r="99" spans="1:24">
      <c r="A99" s="21">
        <v>46090</v>
      </c>
      <c r="B99" s="65" t="s">
        <v>1340</v>
      </c>
      <c r="C99" s="65"/>
      <c r="F99" s="15"/>
      <c r="G99" s="15"/>
      <c r="H99" s="8"/>
      <c r="I99" s="8"/>
      <c r="J99" s="8"/>
      <c r="U99" s="16"/>
      <c r="W99" s="14"/>
      <c r="X99" s="4"/>
    </row>
    <row r="100" spans="1:24">
      <c r="A100" s="21">
        <v>46091</v>
      </c>
      <c r="B100" s="65" t="s">
        <v>1341</v>
      </c>
      <c r="C100" s="65"/>
      <c r="F100" s="15"/>
      <c r="G100" s="15"/>
      <c r="H100" s="8"/>
      <c r="I100" s="8"/>
      <c r="U100" s="16"/>
      <c r="W100" s="14"/>
      <c r="X100" s="4"/>
    </row>
    <row r="101" spans="1:24">
      <c r="A101" s="21">
        <v>46092</v>
      </c>
      <c r="B101" s="65" t="s">
        <v>1342</v>
      </c>
      <c r="C101" s="65"/>
      <c r="F101" s="15"/>
      <c r="G101" s="15"/>
      <c r="H101" s="8"/>
      <c r="I101" s="8"/>
      <c r="J101" s="8"/>
      <c r="U101" s="16"/>
      <c r="W101" s="14"/>
      <c r="X101" s="4"/>
    </row>
    <row r="102" spans="1:24">
      <c r="A102" s="21">
        <v>46093</v>
      </c>
      <c r="B102" s="65" t="s">
        <v>1343</v>
      </c>
      <c r="C102" s="65"/>
      <c r="F102" s="15"/>
      <c r="G102" s="15"/>
      <c r="H102" s="8"/>
      <c r="I102" s="8"/>
      <c r="J102" s="8"/>
      <c r="U102" s="16"/>
      <c r="V102" s="14"/>
      <c r="W102" s="14"/>
      <c r="X102" s="4"/>
    </row>
    <row r="103" spans="1:24">
      <c r="A103" s="21">
        <v>46094</v>
      </c>
      <c r="B103" s="65" t="s">
        <v>1344</v>
      </c>
      <c r="C103" s="65"/>
      <c r="F103" s="15"/>
      <c r="G103" s="15"/>
      <c r="H103" s="8"/>
      <c r="I103" s="8"/>
      <c r="J103" s="8"/>
      <c r="U103" s="16"/>
      <c r="V103" s="14"/>
      <c r="W103" s="14"/>
      <c r="X103" s="4"/>
    </row>
    <row r="104" spans="1:24">
      <c r="A104" s="21">
        <v>46095</v>
      </c>
      <c r="B104" s="65" t="s">
        <v>1208</v>
      </c>
      <c r="C104" s="65"/>
      <c r="F104" s="15"/>
      <c r="G104" s="15"/>
      <c r="H104" s="8"/>
      <c r="I104" s="8"/>
      <c r="J104" s="8"/>
      <c r="U104" s="16"/>
      <c r="V104" s="14"/>
      <c r="W104" s="14"/>
      <c r="X104" s="4"/>
    </row>
    <row r="105" spans="1:24">
      <c r="A105" s="21">
        <v>46096</v>
      </c>
      <c r="B105" s="65" t="s">
        <v>1345</v>
      </c>
      <c r="C105" s="65"/>
      <c r="F105" s="15"/>
      <c r="G105" s="15"/>
      <c r="H105" s="8"/>
      <c r="I105" s="8"/>
      <c r="J105" s="8"/>
      <c r="U105" s="16"/>
      <c r="V105" s="14"/>
      <c r="W105" s="14"/>
      <c r="X105" s="4"/>
    </row>
    <row r="106" spans="1:24">
      <c r="A106" s="21">
        <v>46097</v>
      </c>
      <c r="B106" s="65" t="s">
        <v>1346</v>
      </c>
      <c r="C106" s="65"/>
      <c r="F106" s="15"/>
      <c r="G106" s="15"/>
      <c r="H106" s="8"/>
      <c r="I106" s="8"/>
      <c r="J106" s="8"/>
      <c r="U106" s="16"/>
      <c r="V106" s="14"/>
      <c r="W106" s="14"/>
      <c r="X106" s="4"/>
    </row>
    <row r="107" spans="1:24">
      <c r="A107" s="21">
        <v>46098</v>
      </c>
      <c r="B107" s="65" t="s">
        <v>1347</v>
      </c>
      <c r="C107" s="65"/>
      <c r="F107" s="15"/>
      <c r="G107" s="15"/>
      <c r="H107" s="8"/>
      <c r="I107" s="8"/>
      <c r="J107" s="8"/>
      <c r="U107" s="16"/>
      <c r="V107" s="14"/>
      <c r="W107" s="14"/>
      <c r="X107" s="4"/>
    </row>
    <row r="108" spans="1:24">
      <c r="A108" s="21">
        <v>46099</v>
      </c>
      <c r="B108" s="65" t="s">
        <v>1348</v>
      </c>
      <c r="C108" s="65"/>
      <c r="F108" s="15"/>
      <c r="G108" s="15"/>
      <c r="H108" s="8"/>
      <c r="I108" s="8"/>
      <c r="J108" s="8"/>
      <c r="U108" s="16"/>
      <c r="V108" s="14"/>
      <c r="W108" s="14"/>
      <c r="X108" s="4"/>
    </row>
    <row r="109" spans="1:24">
      <c r="A109" s="21">
        <v>46100</v>
      </c>
      <c r="B109" s="65" t="s">
        <v>1349</v>
      </c>
      <c r="C109" s="65"/>
      <c r="F109" s="15"/>
      <c r="G109" s="15"/>
      <c r="H109" s="8"/>
      <c r="I109" s="8"/>
      <c r="J109" s="8"/>
      <c r="U109" s="16"/>
      <c r="V109" s="14"/>
      <c r="W109" s="14"/>
      <c r="X109" s="4"/>
    </row>
    <row r="110" spans="1:24">
      <c r="A110" s="21">
        <v>46101</v>
      </c>
      <c r="B110" s="65" t="s">
        <v>1350</v>
      </c>
      <c r="C110" s="65"/>
      <c r="F110" s="15"/>
      <c r="G110" s="15"/>
      <c r="H110" s="8"/>
      <c r="I110" s="8"/>
      <c r="U110" s="16"/>
      <c r="V110" s="14"/>
      <c r="W110" s="14"/>
      <c r="X110" s="4"/>
    </row>
    <row r="111" spans="1:24">
      <c r="A111" s="21">
        <v>46102</v>
      </c>
      <c r="B111" s="65" t="s">
        <v>1351</v>
      </c>
      <c r="C111" s="65"/>
      <c r="F111" s="15"/>
      <c r="G111" s="15"/>
      <c r="H111" s="8"/>
      <c r="I111" s="8"/>
      <c r="J111" s="8"/>
      <c r="U111" s="16"/>
      <c r="V111" s="14"/>
      <c r="W111" s="14"/>
      <c r="X111" s="4"/>
    </row>
    <row r="112" spans="1:24">
      <c r="A112" s="21">
        <v>46103</v>
      </c>
      <c r="B112" s="65" t="s">
        <v>1352</v>
      </c>
      <c r="C112" s="65"/>
      <c r="F112" s="15"/>
      <c r="G112" s="15"/>
      <c r="H112" s="8"/>
      <c r="I112" s="8"/>
      <c r="J112" s="8"/>
      <c r="U112" s="16"/>
      <c r="V112" s="14"/>
      <c r="W112" s="14"/>
      <c r="X112" s="4"/>
    </row>
    <row r="113" spans="1:24">
      <c r="A113" s="21">
        <v>46104</v>
      </c>
      <c r="B113" s="65" t="s">
        <v>1353</v>
      </c>
      <c r="C113" s="65"/>
      <c r="F113" s="15"/>
      <c r="G113" s="15"/>
      <c r="H113" s="8"/>
      <c r="I113" s="8"/>
      <c r="J113" s="8"/>
      <c r="U113" s="16"/>
      <c r="V113" s="14"/>
      <c r="W113" s="14"/>
      <c r="X113" s="4"/>
    </row>
    <row r="114" spans="1:24">
      <c r="A114" s="21">
        <v>46105</v>
      </c>
      <c r="B114" s="65" t="s">
        <v>1354</v>
      </c>
      <c r="C114" s="65"/>
      <c r="F114" s="15"/>
      <c r="G114" s="15"/>
      <c r="H114" s="8"/>
      <c r="I114" s="8"/>
      <c r="J114" s="8"/>
      <c r="U114" s="16"/>
      <c r="V114" s="14"/>
      <c r="W114" s="14"/>
      <c r="X114" s="4"/>
    </row>
    <row r="115" spans="1:24">
      <c r="A115" s="21">
        <v>46106</v>
      </c>
      <c r="B115" s="65" t="s">
        <v>1355</v>
      </c>
      <c r="C115" s="65"/>
      <c r="F115" s="15"/>
      <c r="G115" s="15"/>
      <c r="H115" s="8"/>
      <c r="I115" s="8"/>
      <c r="J115" s="8"/>
      <c r="U115" s="16"/>
      <c r="V115" s="14"/>
      <c r="W115" s="14"/>
      <c r="X115" s="4"/>
    </row>
    <row r="116" spans="1:24">
      <c r="A116" s="21">
        <v>46107</v>
      </c>
      <c r="B116" s="65" t="s">
        <v>1356</v>
      </c>
      <c r="C116" s="65"/>
      <c r="F116" s="15"/>
      <c r="G116" s="15"/>
      <c r="H116" s="8"/>
      <c r="I116" s="8"/>
      <c r="J116" s="8"/>
      <c r="U116" s="16"/>
      <c r="V116" s="14"/>
      <c r="W116" s="14"/>
      <c r="X116" s="4"/>
    </row>
    <row r="117" spans="1:24">
      <c r="A117" s="21">
        <v>46108</v>
      </c>
      <c r="B117" s="65" t="s">
        <v>1209</v>
      </c>
      <c r="C117" s="65"/>
      <c r="F117" s="15"/>
      <c r="G117" s="15"/>
      <c r="H117" s="8"/>
      <c r="I117" s="8"/>
      <c r="J117" s="8"/>
      <c r="T117" s="16"/>
      <c r="U117" s="16"/>
      <c r="V117" s="14"/>
      <c r="W117" s="14"/>
      <c r="X117" s="4"/>
    </row>
    <row r="118" spans="1:24">
      <c r="A118" s="21">
        <v>46109</v>
      </c>
      <c r="B118" s="65" t="s">
        <v>1357</v>
      </c>
      <c r="C118" s="65"/>
      <c r="F118" s="15"/>
      <c r="G118" s="15"/>
      <c r="H118" s="8"/>
      <c r="I118" s="8"/>
      <c r="J118" s="8"/>
      <c r="T118" s="16"/>
      <c r="U118" s="16"/>
      <c r="V118" s="14"/>
      <c r="W118" s="14"/>
      <c r="X118" s="4"/>
    </row>
    <row r="119" spans="1:24">
      <c r="A119" s="21">
        <v>46110</v>
      </c>
      <c r="B119" s="65" t="s">
        <v>1358</v>
      </c>
      <c r="C119" s="65"/>
      <c r="F119" s="15"/>
      <c r="G119" s="15"/>
      <c r="I119" s="8"/>
      <c r="J119" s="8"/>
      <c r="T119" s="16"/>
      <c r="U119" s="16"/>
      <c r="V119" s="14"/>
      <c r="W119" s="14"/>
      <c r="X119" s="4"/>
    </row>
    <row r="120" spans="1:24">
      <c r="A120" s="21">
        <v>46111</v>
      </c>
      <c r="B120" s="65" t="s">
        <v>1359</v>
      </c>
      <c r="C120" s="65"/>
      <c r="F120" s="15"/>
      <c r="G120" s="15"/>
      <c r="H120" s="8"/>
      <c r="I120" s="8"/>
      <c r="J120" s="8"/>
      <c r="T120" s="16"/>
      <c r="U120" s="16"/>
      <c r="V120" s="14"/>
      <c r="W120" s="14"/>
      <c r="X120" s="4"/>
    </row>
    <row r="121" spans="1:24">
      <c r="A121" s="21">
        <v>46112</v>
      </c>
      <c r="B121" s="65" t="s">
        <v>1360</v>
      </c>
      <c r="C121" s="65"/>
      <c r="F121" s="15"/>
      <c r="G121" s="15"/>
      <c r="H121" s="8"/>
      <c r="J121" s="8"/>
      <c r="T121" s="16"/>
      <c r="U121" s="16"/>
      <c r="V121" s="14"/>
      <c r="W121" s="14"/>
      <c r="X121" s="4"/>
    </row>
    <row r="122" spans="1:24">
      <c r="A122" s="21">
        <v>46113</v>
      </c>
      <c r="B122" s="65" t="s">
        <v>1361</v>
      </c>
      <c r="C122" s="65"/>
      <c r="F122" s="15"/>
      <c r="G122" s="15"/>
      <c r="H122" s="8"/>
      <c r="I122" s="8"/>
      <c r="J122" s="8"/>
      <c r="T122" s="16"/>
      <c r="U122" s="16"/>
      <c r="V122" s="14"/>
      <c r="W122" s="14"/>
      <c r="X122" s="4"/>
    </row>
    <row r="123" spans="1:24">
      <c r="A123" s="21">
        <v>46114</v>
      </c>
      <c r="B123" s="65" t="s">
        <v>1362</v>
      </c>
      <c r="C123" s="65"/>
      <c r="F123" s="15"/>
      <c r="G123" s="15"/>
      <c r="H123" s="8"/>
      <c r="I123" s="8"/>
      <c r="J123" s="8"/>
      <c r="T123" s="16"/>
      <c r="U123" s="16"/>
      <c r="V123" s="14"/>
      <c r="W123" s="14"/>
      <c r="X123" s="4"/>
    </row>
    <row r="124" spans="1:24">
      <c r="A124" s="21">
        <v>46115</v>
      </c>
      <c r="B124" s="65" t="s">
        <v>1363</v>
      </c>
      <c r="C124" s="65"/>
      <c r="F124" s="15"/>
      <c r="G124" s="15"/>
      <c r="H124" s="8"/>
      <c r="I124" s="8"/>
      <c r="J124" s="8"/>
      <c r="T124" s="16"/>
      <c r="U124" s="16"/>
      <c r="V124" s="14"/>
      <c r="W124" s="14"/>
      <c r="X124" s="4"/>
    </row>
    <row r="125" spans="1:24">
      <c r="A125" s="21">
        <v>46116</v>
      </c>
      <c r="B125" s="65" t="s">
        <v>1364</v>
      </c>
      <c r="C125" s="65"/>
      <c r="F125" s="15"/>
      <c r="G125" s="15"/>
      <c r="H125" s="8"/>
      <c r="I125" s="8"/>
      <c r="J125" s="8"/>
      <c r="T125" s="16"/>
      <c r="U125" s="16"/>
      <c r="V125" s="14"/>
      <c r="W125" s="14"/>
      <c r="X125" s="4"/>
    </row>
    <row r="126" spans="1:24">
      <c r="A126" s="21">
        <v>46117</v>
      </c>
      <c r="B126" s="65" t="s">
        <v>1365</v>
      </c>
      <c r="C126" s="65"/>
      <c r="F126" s="15"/>
      <c r="G126" s="15"/>
      <c r="H126" s="8"/>
      <c r="I126" s="8"/>
      <c r="J126" s="8"/>
      <c r="T126" s="16"/>
      <c r="U126" s="16"/>
      <c r="V126" s="14"/>
      <c r="W126" s="14"/>
      <c r="X126" s="4"/>
    </row>
    <row r="127" spans="1:24">
      <c r="A127" s="21">
        <v>46118</v>
      </c>
      <c r="B127" s="65" t="s">
        <v>1366</v>
      </c>
      <c r="C127" s="65"/>
      <c r="F127" s="15"/>
      <c r="G127" s="15"/>
      <c r="H127" s="8"/>
      <c r="I127" s="8"/>
      <c r="J127" s="8"/>
      <c r="T127" s="16"/>
      <c r="U127" s="14"/>
      <c r="V127" s="14"/>
      <c r="W127" s="14"/>
      <c r="X127" s="4"/>
    </row>
    <row r="128" spans="1:24">
      <c r="A128" s="21">
        <v>46119</v>
      </c>
      <c r="B128" s="65" t="s">
        <v>1367</v>
      </c>
      <c r="C128" s="65"/>
      <c r="F128" s="15"/>
      <c r="G128" s="15"/>
      <c r="H128" s="8"/>
      <c r="I128" s="8"/>
      <c r="J128" s="8"/>
      <c r="T128" s="16"/>
      <c r="U128" s="14"/>
      <c r="V128" s="14"/>
      <c r="W128" s="14"/>
      <c r="X128" s="4"/>
    </row>
    <row r="129" spans="1:24">
      <c r="A129" s="21">
        <v>46120</v>
      </c>
      <c r="B129" s="65" t="s">
        <v>1368</v>
      </c>
      <c r="C129" s="65"/>
      <c r="F129" s="15"/>
      <c r="G129" s="15"/>
      <c r="H129" s="8"/>
      <c r="I129" s="8"/>
      <c r="J129" s="8"/>
      <c r="T129" s="16"/>
      <c r="U129" s="14"/>
      <c r="V129" s="14"/>
      <c r="W129" s="14"/>
      <c r="X129" s="4"/>
    </row>
    <row r="130" spans="1:24">
      <c r="A130" s="21">
        <v>46121</v>
      </c>
      <c r="B130" s="65" t="s">
        <v>1210</v>
      </c>
      <c r="C130" s="65"/>
      <c r="F130" s="15"/>
      <c r="G130" s="15"/>
      <c r="H130" s="8"/>
      <c r="I130" s="8"/>
      <c r="J130" s="8"/>
      <c r="T130" s="16"/>
      <c r="U130" s="14"/>
      <c r="V130" s="14"/>
      <c r="W130" s="14"/>
      <c r="X130" s="4"/>
    </row>
    <row r="131" spans="1:24">
      <c r="A131" s="21">
        <v>46122</v>
      </c>
      <c r="B131" s="65" t="s">
        <v>1369</v>
      </c>
      <c r="C131" s="65"/>
      <c r="F131" s="15"/>
      <c r="G131" s="15"/>
      <c r="H131" s="8"/>
      <c r="I131" s="8"/>
      <c r="J131" s="8"/>
      <c r="T131" s="16"/>
      <c r="U131" s="14"/>
      <c r="V131" s="14"/>
      <c r="W131" s="14"/>
      <c r="X131" s="4"/>
    </row>
    <row r="132" spans="1:24">
      <c r="A132" s="21">
        <v>46123</v>
      </c>
      <c r="B132" s="65" t="s">
        <v>1370</v>
      </c>
      <c r="C132" s="65"/>
      <c r="F132" s="15"/>
      <c r="G132" s="15"/>
      <c r="H132" s="8"/>
      <c r="I132" s="8"/>
      <c r="J132" s="8"/>
      <c r="T132" s="16"/>
      <c r="U132" s="14"/>
      <c r="V132" s="14"/>
      <c r="W132" s="14"/>
      <c r="X132" s="4"/>
    </row>
    <row r="133" spans="1:24">
      <c r="A133" s="21">
        <v>46124</v>
      </c>
      <c r="B133" s="65" t="s">
        <v>1371</v>
      </c>
      <c r="C133" s="65"/>
      <c r="F133" s="15"/>
      <c r="G133" s="15"/>
      <c r="H133" s="8"/>
      <c r="I133" s="8"/>
      <c r="J133" s="8"/>
      <c r="T133" s="16"/>
      <c r="U133" s="14"/>
      <c r="V133" s="14"/>
      <c r="W133" s="14"/>
      <c r="X133" s="4"/>
    </row>
    <row r="134" spans="1:24">
      <c r="A134" s="21">
        <v>46125</v>
      </c>
      <c r="B134" s="65" t="s">
        <v>1372</v>
      </c>
      <c r="C134" s="65"/>
      <c r="F134" s="15"/>
      <c r="G134" s="15"/>
      <c r="H134" s="8"/>
      <c r="I134" s="8"/>
      <c r="J134" s="8"/>
      <c r="T134" s="16"/>
      <c r="U134" s="14"/>
      <c r="V134" s="14"/>
      <c r="W134" s="14"/>
      <c r="X134" s="4"/>
    </row>
    <row r="135" spans="1:24">
      <c r="A135" s="21">
        <v>46126</v>
      </c>
      <c r="B135" s="65" t="s">
        <v>1373</v>
      </c>
      <c r="C135" s="65"/>
      <c r="F135" s="15"/>
      <c r="G135" s="15"/>
      <c r="H135" s="8"/>
      <c r="I135" s="8"/>
      <c r="J135" s="8"/>
      <c r="T135" s="16"/>
      <c r="U135" s="14"/>
      <c r="V135" s="14"/>
      <c r="X135" s="4"/>
    </row>
    <row r="136" spans="1:24">
      <c r="A136" s="21">
        <v>46127</v>
      </c>
      <c r="B136" s="65" t="s">
        <v>1374</v>
      </c>
      <c r="C136" s="65"/>
      <c r="F136" s="15"/>
      <c r="G136" s="15"/>
      <c r="H136" s="8"/>
      <c r="I136" s="8"/>
      <c r="J136" s="8"/>
      <c r="T136" s="16"/>
      <c r="U136" s="14"/>
      <c r="V136" s="14"/>
      <c r="X136" s="4"/>
    </row>
    <row r="137" spans="1:24">
      <c r="A137" s="21">
        <v>46128</v>
      </c>
      <c r="B137" s="65" t="s">
        <v>1375</v>
      </c>
      <c r="C137" s="65"/>
      <c r="F137" s="15"/>
      <c r="G137" s="15"/>
      <c r="H137" s="8"/>
      <c r="I137" s="8"/>
      <c r="J137" s="8"/>
      <c r="T137" s="16"/>
      <c r="U137" s="14"/>
      <c r="V137" s="14"/>
      <c r="X137" s="4"/>
    </row>
    <row r="138" spans="1:24">
      <c r="A138" s="21">
        <v>46129</v>
      </c>
      <c r="B138" s="65" t="s">
        <v>1376</v>
      </c>
      <c r="C138" s="65"/>
      <c r="F138" s="15"/>
      <c r="G138" s="15"/>
      <c r="H138" s="8"/>
      <c r="I138" s="8"/>
      <c r="J138" s="8"/>
      <c r="T138" s="16"/>
      <c r="U138" s="14"/>
      <c r="V138" s="14"/>
      <c r="X138" s="4"/>
    </row>
    <row r="139" spans="1:24">
      <c r="A139" s="21">
        <v>46130</v>
      </c>
      <c r="B139" s="65" t="s">
        <v>1377</v>
      </c>
      <c r="C139" s="65"/>
      <c r="F139" s="15"/>
      <c r="G139" s="15"/>
      <c r="H139" s="8"/>
      <c r="I139" s="8"/>
      <c r="T139" s="16"/>
      <c r="U139" s="14"/>
      <c r="V139" s="14"/>
      <c r="X139" s="4"/>
    </row>
    <row r="140" spans="1:24">
      <c r="A140" s="21">
        <v>46131</v>
      </c>
      <c r="B140" s="65" t="s">
        <v>1378</v>
      </c>
      <c r="C140" s="65"/>
      <c r="F140" s="15"/>
      <c r="G140" s="8"/>
      <c r="H140" s="8"/>
      <c r="I140" s="8"/>
      <c r="T140" s="16"/>
      <c r="U140" s="14"/>
      <c r="V140" s="14"/>
      <c r="X140" s="4"/>
    </row>
    <row r="141" spans="1:24">
      <c r="A141" s="21">
        <v>46132</v>
      </c>
      <c r="B141" s="65" t="s">
        <v>1379</v>
      </c>
      <c r="C141" s="65"/>
      <c r="F141" s="15"/>
      <c r="G141" s="8"/>
      <c r="H141" s="8"/>
      <c r="I141" s="8"/>
      <c r="T141" s="16"/>
      <c r="U141" s="14"/>
      <c r="V141" s="14"/>
      <c r="X141" s="4"/>
    </row>
    <row r="142" spans="1:24">
      <c r="A142" s="21">
        <v>46133</v>
      </c>
      <c r="B142" s="65" t="s">
        <v>1380</v>
      </c>
      <c r="C142" s="65"/>
      <c r="F142" s="15"/>
      <c r="G142" s="8"/>
      <c r="H142" s="8"/>
      <c r="T142" s="16"/>
      <c r="U142" s="14"/>
      <c r="V142" s="14"/>
      <c r="X142" s="4"/>
    </row>
    <row r="143" spans="1:24">
      <c r="A143" s="21">
        <v>46134</v>
      </c>
      <c r="B143" s="65" t="s">
        <v>1211</v>
      </c>
      <c r="C143" s="65"/>
      <c r="F143" s="15"/>
      <c r="G143" s="8"/>
      <c r="H143" s="8"/>
      <c r="I143" s="8"/>
      <c r="T143" s="16"/>
      <c r="U143" s="14"/>
      <c r="V143" s="14"/>
      <c r="X143" s="4"/>
    </row>
    <row r="144" spans="1:24">
      <c r="A144" s="21">
        <v>46135</v>
      </c>
      <c r="B144" s="65" t="s">
        <v>1381</v>
      </c>
      <c r="C144" s="65"/>
      <c r="F144" s="15"/>
      <c r="G144" s="8"/>
      <c r="H144" s="8"/>
      <c r="I144" s="8"/>
      <c r="T144" s="16"/>
      <c r="U144" s="14"/>
      <c r="V144" s="14"/>
      <c r="X144" s="4"/>
    </row>
    <row r="145" spans="1:24">
      <c r="A145" s="21">
        <v>46136</v>
      </c>
      <c r="B145" s="65" t="s">
        <v>1382</v>
      </c>
      <c r="C145" s="65"/>
      <c r="F145" s="15"/>
      <c r="G145" s="8"/>
      <c r="H145" s="8"/>
      <c r="I145" s="8"/>
      <c r="T145" s="16"/>
      <c r="U145" s="14"/>
      <c r="V145" s="14"/>
      <c r="X145" s="4"/>
    </row>
    <row r="146" spans="1:24">
      <c r="A146" s="21">
        <v>46137</v>
      </c>
      <c r="B146" s="65" t="s">
        <v>1383</v>
      </c>
      <c r="C146" s="65"/>
      <c r="F146" s="15"/>
      <c r="G146" s="8"/>
      <c r="H146" s="8"/>
      <c r="I146" s="8"/>
      <c r="T146" s="16"/>
      <c r="U146" s="14"/>
      <c r="V146" s="14"/>
      <c r="X146" s="4"/>
    </row>
    <row r="147" spans="1:24">
      <c r="A147" s="21">
        <v>46138</v>
      </c>
      <c r="B147" s="65" t="s">
        <v>1384</v>
      </c>
      <c r="C147" s="65"/>
      <c r="F147" s="15"/>
      <c r="G147" s="8"/>
      <c r="H147" s="8"/>
      <c r="I147" s="8"/>
      <c r="T147" s="16"/>
      <c r="U147" s="14"/>
      <c r="V147" s="14"/>
      <c r="X147" s="4"/>
    </row>
    <row r="148" spans="1:24">
      <c r="A148" s="21">
        <v>46139</v>
      </c>
      <c r="B148" s="65" t="s">
        <v>1385</v>
      </c>
      <c r="C148" s="65"/>
      <c r="F148" s="15"/>
      <c r="G148" s="8"/>
      <c r="H148" s="8"/>
      <c r="I148" s="8"/>
      <c r="T148" s="16"/>
      <c r="U148" s="14"/>
      <c r="V148" s="14"/>
      <c r="X148" s="4"/>
    </row>
    <row r="149" spans="1:24">
      <c r="A149" s="21">
        <v>46140</v>
      </c>
      <c r="B149" s="65" t="s">
        <v>1386</v>
      </c>
      <c r="C149" s="65"/>
      <c r="F149" s="15"/>
      <c r="G149" s="8"/>
      <c r="H149" s="8"/>
      <c r="I149" s="8"/>
      <c r="T149" s="16"/>
      <c r="U149" s="14"/>
      <c r="V149" s="14"/>
      <c r="X149" s="4"/>
    </row>
    <row r="150" spans="1:24">
      <c r="A150" s="21">
        <v>46141</v>
      </c>
      <c r="B150" s="65" t="s">
        <v>1387</v>
      </c>
      <c r="C150" s="65"/>
      <c r="F150" s="15"/>
      <c r="G150" s="8"/>
      <c r="H150" s="8"/>
      <c r="I150" s="8"/>
      <c r="T150" s="16"/>
      <c r="U150" s="14"/>
      <c r="V150" s="14"/>
      <c r="X150" s="4"/>
    </row>
    <row r="151" spans="1:24">
      <c r="A151" s="21">
        <v>46142</v>
      </c>
      <c r="B151" s="65" t="s">
        <v>1388</v>
      </c>
      <c r="C151" s="65"/>
      <c r="F151" s="15"/>
      <c r="G151" s="8"/>
      <c r="H151" s="8"/>
      <c r="I151" s="8"/>
      <c r="T151" s="16"/>
      <c r="U151" s="14"/>
      <c r="V151" s="14"/>
      <c r="X151" s="4"/>
    </row>
    <row r="152" spans="1:24">
      <c r="A152" s="21">
        <v>46143</v>
      </c>
      <c r="B152" s="65" t="s">
        <v>1389</v>
      </c>
      <c r="C152" s="65"/>
      <c r="F152" s="15"/>
      <c r="G152" s="8"/>
      <c r="H152" s="8"/>
      <c r="I152" s="8"/>
      <c r="T152" s="16"/>
      <c r="U152" s="14"/>
      <c r="V152" s="14"/>
      <c r="X152" s="4"/>
    </row>
    <row r="153" spans="1:24">
      <c r="A153" s="21">
        <v>46144</v>
      </c>
      <c r="B153" s="65" t="s">
        <v>1390</v>
      </c>
      <c r="C153" s="65"/>
      <c r="F153" s="15"/>
      <c r="G153" s="8"/>
      <c r="H153" s="8"/>
      <c r="I153" s="8"/>
      <c r="T153" s="16"/>
      <c r="U153" s="14"/>
      <c r="V153" s="14"/>
      <c r="X153" s="4"/>
    </row>
    <row r="154" spans="1:24">
      <c r="A154" s="21">
        <v>46145</v>
      </c>
      <c r="B154" s="65" t="s">
        <v>1391</v>
      </c>
      <c r="C154" s="65"/>
      <c r="F154" s="15"/>
      <c r="G154" s="8"/>
      <c r="H154" s="8"/>
      <c r="I154" s="8"/>
      <c r="T154" s="16"/>
      <c r="U154" s="14"/>
      <c r="V154" s="14"/>
      <c r="X154" s="4"/>
    </row>
    <row r="155" spans="1:24">
      <c r="A155" s="21">
        <v>46146</v>
      </c>
      <c r="B155" s="65" t="s">
        <v>1392</v>
      </c>
      <c r="C155" s="65"/>
      <c r="F155" s="15"/>
      <c r="G155" s="8"/>
      <c r="H155" s="8"/>
      <c r="I155" s="8"/>
      <c r="T155" s="16"/>
      <c r="U155" s="14"/>
      <c r="V155" s="14"/>
      <c r="X155" s="4"/>
    </row>
    <row r="156" spans="1:24">
      <c r="A156" s="21">
        <v>46147</v>
      </c>
      <c r="B156" s="65" t="s">
        <v>1212</v>
      </c>
      <c r="C156" s="65"/>
      <c r="F156" s="15"/>
      <c r="G156" s="8"/>
      <c r="H156" s="8"/>
      <c r="I156" s="8"/>
      <c r="T156" s="16"/>
      <c r="U156" s="14"/>
      <c r="V156" s="14"/>
      <c r="X156" s="4"/>
    </row>
    <row r="157" spans="1:24">
      <c r="A157" s="21">
        <v>46148</v>
      </c>
      <c r="B157" s="65" t="s">
        <v>1393</v>
      </c>
      <c r="C157" s="65"/>
      <c r="F157" s="15"/>
      <c r="G157" s="8"/>
      <c r="H157" s="8"/>
      <c r="I157" s="8"/>
      <c r="T157" s="16"/>
      <c r="U157" s="14"/>
      <c r="V157" s="14"/>
      <c r="X157" s="4"/>
    </row>
    <row r="158" spans="1:24">
      <c r="A158" s="21">
        <v>46149</v>
      </c>
      <c r="B158" s="65" t="s">
        <v>1394</v>
      </c>
      <c r="C158" s="65"/>
      <c r="F158" s="15"/>
      <c r="G158" s="8"/>
      <c r="H158" s="8"/>
      <c r="I158" s="8"/>
      <c r="T158" s="16"/>
      <c r="U158" s="14"/>
      <c r="V158" s="14"/>
      <c r="X158" s="4"/>
    </row>
    <row r="159" spans="1:24">
      <c r="A159" s="21">
        <v>46150</v>
      </c>
      <c r="B159" s="65" t="s">
        <v>1395</v>
      </c>
      <c r="C159" s="65"/>
      <c r="F159" s="15"/>
      <c r="G159" s="8"/>
      <c r="H159" s="8"/>
      <c r="I159" s="8"/>
      <c r="T159" s="16"/>
      <c r="U159" s="14"/>
      <c r="V159" s="14"/>
      <c r="X159" s="4"/>
    </row>
    <row r="160" spans="1:24">
      <c r="A160" s="21">
        <v>46151</v>
      </c>
      <c r="B160" s="65" t="s">
        <v>1396</v>
      </c>
      <c r="C160" s="65"/>
      <c r="F160" s="15"/>
      <c r="G160" s="8"/>
      <c r="H160" s="8"/>
      <c r="I160" s="8"/>
      <c r="T160" s="16"/>
      <c r="U160" s="14"/>
      <c r="V160" s="14"/>
      <c r="X160" s="4"/>
    </row>
    <row r="161" spans="1:24">
      <c r="A161" s="21">
        <v>46152</v>
      </c>
      <c r="B161" s="65" t="s">
        <v>1397</v>
      </c>
      <c r="C161" s="65"/>
      <c r="F161" s="15"/>
      <c r="G161" s="8"/>
      <c r="I161" s="8"/>
      <c r="T161" s="16"/>
      <c r="U161" s="14"/>
      <c r="V161" s="14"/>
      <c r="X161" s="4"/>
    </row>
    <row r="162" spans="1:24">
      <c r="A162" s="21">
        <v>46153</v>
      </c>
      <c r="B162" s="65" t="s">
        <v>1398</v>
      </c>
      <c r="C162" s="65"/>
      <c r="F162" s="15"/>
      <c r="G162" s="8"/>
      <c r="H162" s="8"/>
      <c r="I162" s="8"/>
      <c r="T162" s="16"/>
      <c r="U162" s="14"/>
      <c r="V162" s="14"/>
      <c r="X162" s="4"/>
    </row>
    <row r="163" spans="1:24">
      <c r="A163" s="21">
        <v>46154</v>
      </c>
      <c r="B163" s="65" t="s">
        <v>1399</v>
      </c>
      <c r="C163" s="65"/>
      <c r="F163" s="15"/>
      <c r="G163" s="8"/>
      <c r="H163" s="8"/>
      <c r="I163" s="8"/>
      <c r="T163" s="16"/>
      <c r="U163" s="14"/>
      <c r="V163" s="14"/>
      <c r="X163" s="4"/>
    </row>
    <row r="164" spans="1:24">
      <c r="A164" s="21">
        <v>46155</v>
      </c>
      <c r="B164" s="65" t="s">
        <v>1400</v>
      </c>
      <c r="C164" s="65"/>
      <c r="F164" s="15"/>
      <c r="G164" s="8"/>
      <c r="H164" s="8"/>
      <c r="I164" s="8"/>
      <c r="T164" s="16"/>
      <c r="U164" s="14"/>
      <c r="V164" s="14"/>
      <c r="X164" s="4"/>
    </row>
    <row r="165" spans="1:24">
      <c r="A165" s="21">
        <v>46156</v>
      </c>
      <c r="B165" s="65" t="s">
        <v>1401</v>
      </c>
      <c r="C165" s="65"/>
      <c r="F165" s="15"/>
      <c r="G165" s="8"/>
      <c r="H165" s="8"/>
      <c r="I165" s="8"/>
      <c r="T165" s="16"/>
      <c r="U165" s="14"/>
      <c r="V165" s="14"/>
      <c r="X165" s="4"/>
    </row>
    <row r="166" spans="1:24">
      <c r="A166" s="21">
        <v>46157</v>
      </c>
      <c r="B166" s="65" t="s">
        <v>1402</v>
      </c>
      <c r="C166" s="65"/>
      <c r="F166" s="15"/>
      <c r="G166" s="8"/>
      <c r="H166" s="8"/>
      <c r="I166" s="8"/>
      <c r="T166" s="16"/>
      <c r="U166" s="14"/>
      <c r="V166" s="14"/>
      <c r="X166" s="4"/>
    </row>
    <row r="167" spans="1:24">
      <c r="A167" s="21">
        <v>46158</v>
      </c>
      <c r="B167" s="65" t="s">
        <v>1403</v>
      </c>
      <c r="C167" s="65"/>
      <c r="F167" s="15"/>
      <c r="G167" s="8"/>
      <c r="H167" s="8"/>
      <c r="I167" s="8"/>
      <c r="T167" s="16"/>
      <c r="U167" s="14"/>
      <c r="V167" s="14"/>
      <c r="X167" s="4"/>
    </row>
    <row r="168" spans="1:24">
      <c r="A168" s="21">
        <v>46159</v>
      </c>
      <c r="B168" s="65" t="s">
        <v>1404</v>
      </c>
      <c r="C168" s="65"/>
      <c r="F168" s="15"/>
      <c r="G168" s="8"/>
      <c r="H168" s="8"/>
      <c r="I168" s="8"/>
      <c r="T168" s="16"/>
      <c r="U168" s="14"/>
      <c r="V168" s="14"/>
      <c r="X168" s="4"/>
    </row>
    <row r="169" spans="1:24">
      <c r="A169" s="21">
        <v>46160</v>
      </c>
      <c r="B169" s="65" t="s">
        <v>1213</v>
      </c>
      <c r="C169" s="65"/>
      <c r="F169" s="15"/>
      <c r="G169" s="8"/>
      <c r="H169" s="8"/>
      <c r="I169" s="8"/>
      <c r="T169" s="16"/>
      <c r="U169" s="14"/>
      <c r="V169" s="14"/>
      <c r="X169" s="4"/>
    </row>
    <row r="170" spans="1:24">
      <c r="A170" s="21">
        <v>46161</v>
      </c>
      <c r="B170" s="65" t="s">
        <v>1405</v>
      </c>
      <c r="C170" s="65"/>
      <c r="F170" s="15"/>
      <c r="G170" s="8"/>
      <c r="H170" s="8"/>
      <c r="I170" s="8"/>
      <c r="T170" s="16"/>
      <c r="U170" s="14"/>
      <c r="V170" s="14"/>
      <c r="X170" s="4"/>
    </row>
    <row r="171" spans="1:24">
      <c r="A171" s="21">
        <v>46162</v>
      </c>
      <c r="B171" s="65" t="s">
        <v>1406</v>
      </c>
      <c r="C171" s="65"/>
      <c r="F171" s="15"/>
      <c r="G171" s="8"/>
      <c r="H171" s="8"/>
      <c r="I171" s="8"/>
      <c r="T171" s="16"/>
      <c r="U171" s="14"/>
      <c r="V171" s="14"/>
      <c r="X171" s="4"/>
    </row>
    <row r="172" spans="1:24">
      <c r="A172" s="21">
        <v>46163</v>
      </c>
      <c r="B172" s="65" t="s">
        <v>1407</v>
      </c>
      <c r="C172" s="65"/>
      <c r="F172" s="15"/>
      <c r="G172" s="8"/>
      <c r="H172" s="8"/>
      <c r="I172" s="8"/>
      <c r="T172" s="16"/>
      <c r="U172" s="14"/>
      <c r="V172" s="14"/>
      <c r="X172" s="4"/>
    </row>
    <row r="173" spans="1:24">
      <c r="A173" s="21">
        <v>46164</v>
      </c>
      <c r="B173" s="65" t="s">
        <v>1408</v>
      </c>
      <c r="C173" s="65"/>
      <c r="F173" s="15"/>
      <c r="G173" s="8"/>
      <c r="H173" s="8"/>
      <c r="I173" s="8"/>
      <c r="T173" s="16"/>
      <c r="U173" s="14"/>
      <c r="V173" s="14"/>
      <c r="X173" s="4"/>
    </row>
    <row r="174" spans="1:24">
      <c r="A174" s="21">
        <v>46165</v>
      </c>
      <c r="B174" s="65" t="s">
        <v>1409</v>
      </c>
      <c r="C174" s="65"/>
      <c r="F174" s="15"/>
      <c r="G174" s="8"/>
      <c r="H174" s="8"/>
      <c r="I174" s="8"/>
      <c r="T174" s="16"/>
      <c r="U174" s="14"/>
      <c r="V174" s="14"/>
      <c r="X174" s="4"/>
    </row>
    <row r="175" spans="1:24">
      <c r="A175" s="21">
        <v>46166</v>
      </c>
      <c r="B175" s="65" t="s">
        <v>1410</v>
      </c>
      <c r="C175" s="65"/>
      <c r="F175" s="15"/>
      <c r="G175" s="8"/>
      <c r="H175" s="8"/>
      <c r="I175" s="8"/>
      <c r="T175" s="16"/>
      <c r="U175" s="14"/>
      <c r="V175" s="14"/>
      <c r="X175" s="4"/>
    </row>
    <row r="176" spans="1:24">
      <c r="A176" s="21">
        <v>46167</v>
      </c>
      <c r="B176" s="65" t="s">
        <v>1411</v>
      </c>
      <c r="C176" s="65"/>
      <c r="F176" s="15"/>
      <c r="G176" s="8"/>
      <c r="H176" s="8"/>
      <c r="I176" s="8"/>
      <c r="T176" s="16"/>
      <c r="U176" s="14"/>
      <c r="V176" s="14"/>
      <c r="X176" s="4"/>
    </row>
    <row r="177" spans="1:24">
      <c r="A177" s="21">
        <v>46168</v>
      </c>
      <c r="B177" s="65" t="s">
        <v>1412</v>
      </c>
      <c r="C177" s="65"/>
      <c r="F177" s="15"/>
      <c r="G177" s="8"/>
      <c r="H177" s="8"/>
      <c r="I177" s="8"/>
      <c r="T177" s="16"/>
      <c r="U177" s="14"/>
      <c r="V177" s="14"/>
      <c r="X177" s="4"/>
    </row>
    <row r="178" spans="1:24">
      <c r="A178" s="21">
        <v>46169</v>
      </c>
      <c r="B178" s="65" t="s">
        <v>1413</v>
      </c>
      <c r="C178" s="65"/>
      <c r="F178" s="15"/>
      <c r="G178" s="8"/>
      <c r="H178" s="8"/>
      <c r="I178" s="8"/>
      <c r="T178" s="16"/>
      <c r="U178" s="14"/>
      <c r="V178" s="14"/>
      <c r="X178" s="4"/>
    </row>
    <row r="179" spans="1:24">
      <c r="A179" s="21">
        <v>46170</v>
      </c>
      <c r="B179" s="65" t="s">
        <v>1414</v>
      </c>
      <c r="C179" s="65"/>
      <c r="F179" s="15"/>
      <c r="G179" s="8"/>
      <c r="H179" s="8"/>
      <c r="I179" s="8"/>
      <c r="T179" s="16"/>
      <c r="U179" s="14"/>
      <c r="V179" s="14"/>
      <c r="X179" s="4"/>
    </row>
    <row r="180" spans="1:24">
      <c r="A180" s="21">
        <v>46171</v>
      </c>
      <c r="B180" s="65" t="s">
        <v>1415</v>
      </c>
      <c r="C180" s="65"/>
      <c r="F180" s="15"/>
      <c r="G180" s="8"/>
      <c r="H180" s="8"/>
      <c r="I180" s="8"/>
      <c r="T180" s="16"/>
      <c r="U180" s="14"/>
      <c r="V180" s="14"/>
      <c r="X180" s="4"/>
    </row>
    <row r="181" spans="1:24">
      <c r="A181" s="21">
        <v>46172</v>
      </c>
      <c r="B181" s="65" t="s">
        <v>1416</v>
      </c>
      <c r="C181" s="65"/>
      <c r="F181" s="15"/>
      <c r="G181" s="8"/>
      <c r="H181" s="8"/>
      <c r="I181" s="8"/>
      <c r="T181" s="16"/>
      <c r="U181" s="14"/>
      <c r="V181" s="14"/>
      <c r="X181" s="4"/>
    </row>
    <row r="182" spans="1:24">
      <c r="A182" s="21">
        <v>46173</v>
      </c>
      <c r="B182" s="65" t="s">
        <v>1214</v>
      </c>
      <c r="C182" s="65"/>
      <c r="F182" s="15"/>
      <c r="G182" s="8"/>
      <c r="H182" s="8"/>
      <c r="I182" s="8"/>
      <c r="T182" s="16"/>
      <c r="U182" s="14"/>
      <c r="V182" s="14"/>
      <c r="X182" s="4"/>
    </row>
    <row r="183" spans="1:24">
      <c r="A183" s="21">
        <v>46174</v>
      </c>
      <c r="B183" s="65" t="s">
        <v>1417</v>
      </c>
      <c r="C183" s="65"/>
      <c r="F183" s="15"/>
      <c r="G183" s="8"/>
      <c r="H183" s="8"/>
      <c r="I183" s="8"/>
      <c r="T183" s="16"/>
      <c r="U183" s="14"/>
      <c r="V183" s="14"/>
      <c r="X183" s="4"/>
    </row>
    <row r="184" spans="1:24">
      <c r="A184" s="21">
        <v>46175</v>
      </c>
      <c r="B184" s="65" t="s">
        <v>1418</v>
      </c>
      <c r="C184" s="65"/>
      <c r="F184" s="15"/>
      <c r="G184" s="8"/>
      <c r="H184" s="8"/>
      <c r="I184" s="8"/>
      <c r="T184" s="16"/>
      <c r="U184" s="14"/>
      <c r="V184" s="14"/>
      <c r="X184" s="4"/>
    </row>
    <row r="185" spans="1:24">
      <c r="A185" s="21">
        <v>46176</v>
      </c>
      <c r="B185" s="65" t="s">
        <v>1419</v>
      </c>
      <c r="C185" s="65"/>
      <c r="F185" s="15"/>
      <c r="G185" s="8"/>
      <c r="H185" s="8"/>
      <c r="I185" s="8"/>
      <c r="T185" s="16"/>
      <c r="U185" s="14"/>
      <c r="V185" s="14"/>
      <c r="X185" s="4"/>
    </row>
    <row r="186" spans="1:24">
      <c r="A186" s="21">
        <v>46177</v>
      </c>
      <c r="B186" s="65" t="s">
        <v>1420</v>
      </c>
      <c r="C186" s="65"/>
      <c r="F186" s="15"/>
      <c r="G186" s="8"/>
      <c r="H186" s="8"/>
      <c r="I186" s="8"/>
      <c r="T186" s="16"/>
      <c r="U186" s="14"/>
      <c r="V186" s="14"/>
      <c r="X186" s="4"/>
    </row>
    <row r="187" spans="1:24">
      <c r="A187" s="21">
        <v>46178</v>
      </c>
      <c r="B187" s="65" t="s">
        <v>1421</v>
      </c>
      <c r="C187" s="65"/>
      <c r="F187" s="15"/>
      <c r="G187" s="8"/>
      <c r="H187" s="8"/>
      <c r="I187" s="8"/>
      <c r="T187" s="16"/>
      <c r="U187" s="14"/>
      <c r="V187" s="14"/>
      <c r="X187" s="4"/>
    </row>
    <row r="188" spans="1:24">
      <c r="A188" s="21">
        <v>46179</v>
      </c>
      <c r="B188" s="65" t="s">
        <v>1422</v>
      </c>
      <c r="C188" s="65"/>
      <c r="F188" s="15"/>
      <c r="G188" s="8"/>
      <c r="H188" s="8"/>
      <c r="I188" s="8"/>
      <c r="T188" s="16"/>
      <c r="U188" s="14"/>
      <c r="V188" s="14"/>
      <c r="X188" s="4"/>
    </row>
    <row r="189" spans="1:24">
      <c r="A189" s="21">
        <v>46180</v>
      </c>
      <c r="B189" s="65" t="s">
        <v>1423</v>
      </c>
      <c r="C189" s="65"/>
      <c r="F189" s="15"/>
      <c r="G189" s="8"/>
      <c r="H189" s="8"/>
      <c r="I189" s="8"/>
      <c r="T189" s="16"/>
      <c r="U189" s="14"/>
      <c r="V189" s="14"/>
      <c r="X189" s="4"/>
    </row>
    <row r="190" spans="1:24">
      <c r="A190" s="21">
        <v>46181</v>
      </c>
      <c r="B190" s="65" t="s">
        <v>1424</v>
      </c>
      <c r="C190" s="65"/>
      <c r="F190" s="15"/>
      <c r="G190" s="8"/>
      <c r="H190" s="8"/>
      <c r="I190" s="8"/>
      <c r="T190" s="16"/>
      <c r="U190" s="14"/>
      <c r="V190" s="14"/>
      <c r="X190" s="4"/>
    </row>
    <row r="191" spans="1:24">
      <c r="A191" s="21">
        <v>46182</v>
      </c>
      <c r="B191" s="65" t="s">
        <v>1425</v>
      </c>
      <c r="C191" s="65"/>
      <c r="F191" s="15"/>
      <c r="G191" s="8"/>
      <c r="H191" s="8"/>
      <c r="I191" s="8"/>
      <c r="T191" s="16"/>
      <c r="U191" s="14"/>
      <c r="V191" s="14"/>
      <c r="X191" s="4"/>
    </row>
    <row r="192" spans="1:24">
      <c r="A192" s="21">
        <v>46183</v>
      </c>
      <c r="B192" s="65" t="s">
        <v>1426</v>
      </c>
      <c r="C192" s="65"/>
      <c r="F192" s="15"/>
      <c r="G192" s="8"/>
      <c r="H192" s="8"/>
      <c r="I192" s="8"/>
      <c r="T192" s="16"/>
      <c r="U192" s="14"/>
      <c r="V192" s="14"/>
      <c r="X192" s="4"/>
    </row>
    <row r="193" spans="1:24">
      <c r="A193" s="21">
        <v>46184</v>
      </c>
      <c r="B193" s="65" t="s">
        <v>1427</v>
      </c>
      <c r="C193" s="65"/>
      <c r="F193" s="15"/>
      <c r="G193" s="8"/>
      <c r="H193" s="8"/>
      <c r="I193" s="8"/>
      <c r="T193" s="16"/>
      <c r="U193" s="14"/>
      <c r="V193" s="14"/>
      <c r="X193" s="4"/>
    </row>
    <row r="194" spans="1:24">
      <c r="A194" s="21">
        <v>46185</v>
      </c>
      <c r="B194" s="65" t="s">
        <v>1428</v>
      </c>
      <c r="C194" s="65"/>
      <c r="F194" s="15"/>
      <c r="G194" s="8"/>
      <c r="H194" s="8"/>
      <c r="I194" s="8"/>
      <c r="T194" s="16"/>
      <c r="U194" s="14"/>
      <c r="V194" s="14"/>
      <c r="X194" s="4"/>
    </row>
    <row r="195" spans="1:24">
      <c r="A195" s="21">
        <v>46186</v>
      </c>
      <c r="B195" s="65" t="s">
        <v>1215</v>
      </c>
      <c r="C195" s="65"/>
      <c r="F195" s="15"/>
      <c r="G195" s="8"/>
      <c r="H195" s="8"/>
      <c r="I195" s="8"/>
      <c r="T195" s="16"/>
      <c r="U195" s="14"/>
      <c r="V195" s="14"/>
      <c r="X195" s="4"/>
    </row>
    <row r="196" spans="1:24">
      <c r="A196" s="21">
        <v>46187</v>
      </c>
      <c r="B196" s="65" t="s">
        <v>1429</v>
      </c>
      <c r="C196" s="65"/>
      <c r="F196" s="15"/>
      <c r="G196" s="8"/>
      <c r="H196" s="8"/>
      <c r="I196" s="8"/>
      <c r="T196" s="16"/>
      <c r="U196" s="14"/>
      <c r="V196" s="14"/>
      <c r="X196" s="4"/>
    </row>
    <row r="197" spans="1:24">
      <c r="A197" s="21">
        <v>46188</v>
      </c>
      <c r="B197" s="65" t="s">
        <v>1430</v>
      </c>
      <c r="C197" s="65"/>
      <c r="F197" s="15"/>
      <c r="G197" s="8"/>
      <c r="H197" s="8"/>
      <c r="I197" s="8"/>
      <c r="T197" s="16"/>
      <c r="U197" s="14"/>
      <c r="V197" s="14"/>
      <c r="X197" s="4"/>
    </row>
    <row r="198" spans="1:24">
      <c r="A198" s="21">
        <v>46189</v>
      </c>
      <c r="B198" s="65" t="s">
        <v>1431</v>
      </c>
      <c r="C198" s="65"/>
      <c r="F198" s="15"/>
      <c r="G198" s="8"/>
      <c r="H198" s="8"/>
      <c r="I198" s="8"/>
      <c r="T198" s="16"/>
      <c r="U198" s="14"/>
      <c r="V198" s="14"/>
      <c r="X198" s="4"/>
    </row>
    <row r="199" spans="1:24">
      <c r="A199" s="21">
        <v>46190</v>
      </c>
      <c r="B199" s="65" t="s">
        <v>1432</v>
      </c>
      <c r="C199" s="65"/>
      <c r="F199" s="15"/>
      <c r="G199" s="8"/>
      <c r="H199" s="8"/>
      <c r="I199" s="8"/>
      <c r="T199" s="16"/>
      <c r="U199" s="14"/>
      <c r="V199" s="14"/>
      <c r="X199" s="4"/>
    </row>
    <row r="200" spans="1:24">
      <c r="A200" s="21">
        <v>46191</v>
      </c>
      <c r="B200" s="65" t="s">
        <v>1433</v>
      </c>
      <c r="C200" s="65"/>
      <c r="F200" s="15"/>
      <c r="G200" s="8"/>
      <c r="H200" s="8"/>
      <c r="I200" s="8"/>
      <c r="T200" s="16"/>
      <c r="U200" s="14"/>
      <c r="V200" s="14"/>
      <c r="X200" s="4"/>
    </row>
    <row r="201" spans="1:24">
      <c r="A201" s="21">
        <v>46192</v>
      </c>
      <c r="B201" s="65" t="s">
        <v>1434</v>
      </c>
      <c r="C201" s="65"/>
      <c r="F201" s="15"/>
      <c r="G201" s="8"/>
      <c r="H201" s="8"/>
      <c r="I201" s="8"/>
      <c r="T201" s="16"/>
      <c r="U201" s="14"/>
      <c r="V201" s="14"/>
      <c r="X201" s="4"/>
    </row>
    <row r="202" spans="1:24">
      <c r="A202" s="21">
        <v>46193</v>
      </c>
      <c r="B202" s="65" t="s">
        <v>1435</v>
      </c>
      <c r="C202" s="65"/>
      <c r="F202" s="15"/>
      <c r="G202" s="8"/>
      <c r="H202" s="8"/>
      <c r="I202" s="8"/>
      <c r="T202" s="16"/>
      <c r="U202" s="14"/>
      <c r="V202" s="14"/>
      <c r="X202" s="4"/>
    </row>
    <row r="203" spans="1:24">
      <c r="A203" s="21">
        <v>46194</v>
      </c>
      <c r="B203" s="65" t="s">
        <v>1436</v>
      </c>
      <c r="C203" s="65"/>
      <c r="F203" s="15"/>
      <c r="G203" s="8"/>
      <c r="H203" s="8"/>
      <c r="I203" s="8"/>
      <c r="T203" s="16"/>
      <c r="U203" s="14"/>
      <c r="V203" s="14"/>
      <c r="X203" s="4"/>
    </row>
    <row r="204" spans="1:24">
      <c r="A204" s="21">
        <v>46195</v>
      </c>
      <c r="B204" s="65" t="s">
        <v>1437</v>
      </c>
      <c r="C204" s="65"/>
      <c r="F204" s="15"/>
      <c r="G204" s="8"/>
      <c r="H204" s="8"/>
      <c r="I204" s="8"/>
      <c r="T204" s="16"/>
      <c r="U204" s="14"/>
      <c r="V204" s="14"/>
      <c r="X204" s="4"/>
    </row>
    <row r="205" spans="1:24">
      <c r="A205" s="21">
        <v>46196</v>
      </c>
      <c r="B205" s="65" t="s">
        <v>1438</v>
      </c>
      <c r="C205" s="65"/>
      <c r="F205" s="15"/>
      <c r="G205" s="8"/>
      <c r="H205" s="8"/>
      <c r="I205" s="8"/>
      <c r="T205" s="16"/>
      <c r="U205" s="14"/>
      <c r="V205" s="14"/>
      <c r="X205" s="4"/>
    </row>
    <row r="206" spans="1:24">
      <c r="A206" s="21">
        <v>46197</v>
      </c>
      <c r="B206" s="65" t="s">
        <v>1439</v>
      </c>
      <c r="C206" s="65"/>
      <c r="F206" s="15"/>
      <c r="G206" s="8"/>
      <c r="H206" s="8"/>
      <c r="I206" s="8"/>
      <c r="T206" s="16"/>
      <c r="U206" s="14"/>
      <c r="V206" s="14"/>
      <c r="X206" s="4"/>
    </row>
    <row r="207" spans="1:24">
      <c r="A207" s="21">
        <v>46198</v>
      </c>
      <c r="B207" s="65" t="s">
        <v>1440</v>
      </c>
      <c r="C207" s="65"/>
      <c r="F207" s="15"/>
      <c r="G207" s="8"/>
      <c r="H207" s="8"/>
      <c r="I207" s="8"/>
      <c r="T207" s="16"/>
      <c r="U207" s="14"/>
      <c r="V207" s="14"/>
      <c r="X207" s="4"/>
    </row>
    <row r="208" spans="1:24">
      <c r="A208" s="21">
        <v>46199</v>
      </c>
      <c r="B208" s="65" t="s">
        <v>1216</v>
      </c>
      <c r="C208" s="65"/>
      <c r="F208" s="15"/>
      <c r="G208" s="8"/>
      <c r="H208" s="8"/>
      <c r="I208" s="8"/>
      <c r="T208" s="16"/>
      <c r="U208" s="14"/>
      <c r="V208" s="14"/>
      <c r="X208" s="4"/>
    </row>
    <row r="209" spans="1:24">
      <c r="A209" s="21">
        <v>46200</v>
      </c>
      <c r="B209" s="65" t="s">
        <v>1441</v>
      </c>
      <c r="C209" s="65"/>
      <c r="F209" s="15"/>
      <c r="G209" s="8"/>
      <c r="H209" s="8"/>
      <c r="I209" s="8"/>
      <c r="T209" s="16"/>
      <c r="U209" s="14"/>
      <c r="V209" s="14"/>
      <c r="X209" s="4"/>
    </row>
    <row r="210" spans="1:24">
      <c r="A210" s="21">
        <v>46201</v>
      </c>
      <c r="B210" s="65" t="s">
        <v>1442</v>
      </c>
      <c r="C210" s="65"/>
      <c r="F210" s="15"/>
      <c r="G210" s="8"/>
      <c r="H210" s="8"/>
      <c r="I210" s="8"/>
      <c r="T210" s="16"/>
      <c r="U210" s="14"/>
      <c r="V210" s="14"/>
      <c r="X210" s="4"/>
    </row>
    <row r="211" spans="1:24">
      <c r="A211" s="21">
        <v>46202</v>
      </c>
      <c r="B211" s="65" t="s">
        <v>1443</v>
      </c>
      <c r="C211" s="65"/>
      <c r="F211" s="15"/>
      <c r="G211" s="8"/>
      <c r="H211" s="8"/>
      <c r="I211" s="8"/>
      <c r="T211" s="16"/>
      <c r="U211" s="14"/>
      <c r="V211" s="14"/>
      <c r="X211" s="4"/>
    </row>
    <row r="212" spans="1:24">
      <c r="A212" s="21">
        <v>46203</v>
      </c>
      <c r="B212" s="65" t="s">
        <v>1444</v>
      </c>
      <c r="C212" s="65"/>
      <c r="F212" s="15"/>
      <c r="G212" s="8"/>
      <c r="H212" s="8"/>
      <c r="I212" s="8"/>
      <c r="T212" s="16"/>
      <c r="U212" s="14"/>
      <c r="V212" s="14"/>
      <c r="X212" s="4"/>
    </row>
    <row r="213" spans="1:24">
      <c r="A213" s="21">
        <v>46204</v>
      </c>
      <c r="B213" s="65" t="s">
        <v>1445</v>
      </c>
      <c r="C213" s="65"/>
      <c r="F213" s="15"/>
      <c r="G213" s="8"/>
      <c r="H213" s="8"/>
      <c r="I213" s="8"/>
      <c r="T213" s="16"/>
      <c r="U213" s="14"/>
      <c r="V213" s="14"/>
      <c r="X213" s="4"/>
    </row>
    <row r="214" spans="1:24">
      <c r="A214" s="21">
        <v>46205</v>
      </c>
      <c r="B214" s="65" t="s">
        <v>1446</v>
      </c>
      <c r="C214" s="65"/>
      <c r="F214" s="15"/>
      <c r="G214" s="8"/>
      <c r="H214" s="8"/>
      <c r="I214" s="8"/>
      <c r="T214" s="16"/>
      <c r="U214" s="14"/>
      <c r="V214" s="14"/>
      <c r="X214" s="4"/>
    </row>
    <row r="215" spans="1:24">
      <c r="A215" s="21">
        <v>46206</v>
      </c>
      <c r="B215" s="65" t="s">
        <v>1447</v>
      </c>
      <c r="C215" s="65"/>
      <c r="F215" s="15"/>
      <c r="G215" s="8"/>
      <c r="H215" s="8"/>
      <c r="I215" s="8"/>
      <c r="T215" s="16"/>
      <c r="U215" s="14"/>
      <c r="V215" s="14"/>
      <c r="X215" s="4"/>
    </row>
    <row r="216" spans="1:24">
      <c r="A216" s="21">
        <v>46207</v>
      </c>
      <c r="B216" s="65" t="s">
        <v>1448</v>
      </c>
      <c r="C216" s="65"/>
      <c r="F216" s="15"/>
      <c r="G216" s="8"/>
      <c r="H216" s="8"/>
      <c r="I216" s="8"/>
      <c r="T216" s="16"/>
      <c r="U216" s="14"/>
      <c r="V216" s="14"/>
      <c r="X216" s="4"/>
    </row>
    <row r="217" spans="1:24">
      <c r="A217" s="21">
        <v>46208</v>
      </c>
      <c r="B217" s="65" t="s">
        <v>1449</v>
      </c>
      <c r="C217" s="65"/>
      <c r="F217" s="15"/>
      <c r="G217" s="8"/>
      <c r="H217" s="8"/>
      <c r="I217" s="8"/>
      <c r="T217" s="16"/>
      <c r="U217" s="14"/>
      <c r="V217" s="14"/>
      <c r="X217" s="4"/>
    </row>
    <row r="218" spans="1:24">
      <c r="A218" s="21">
        <v>46209</v>
      </c>
      <c r="B218" s="65" t="s">
        <v>1450</v>
      </c>
      <c r="C218" s="65"/>
      <c r="F218" s="15"/>
      <c r="G218" s="8"/>
      <c r="H218" s="8"/>
      <c r="I218" s="8"/>
      <c r="T218" s="16"/>
      <c r="U218" s="14"/>
      <c r="V218" s="14"/>
      <c r="X218" s="4"/>
    </row>
    <row r="219" spans="1:24">
      <c r="A219" s="21">
        <v>46210</v>
      </c>
      <c r="B219" s="65" t="s">
        <v>1451</v>
      </c>
      <c r="C219" s="65"/>
      <c r="F219" s="15"/>
      <c r="G219" s="8"/>
      <c r="H219" s="8"/>
      <c r="I219" s="8"/>
      <c r="T219" s="16"/>
      <c r="U219" s="14"/>
      <c r="V219" s="14"/>
      <c r="X219" s="4"/>
    </row>
    <row r="220" spans="1:24">
      <c r="A220" s="21">
        <v>46211</v>
      </c>
      <c r="B220" s="65" t="s">
        <v>1452</v>
      </c>
      <c r="C220" s="65"/>
      <c r="F220" s="15"/>
      <c r="G220" s="8"/>
      <c r="H220" s="8"/>
      <c r="I220" s="8"/>
      <c r="T220" s="16"/>
      <c r="U220" s="14"/>
      <c r="V220" s="14"/>
      <c r="X220" s="4"/>
    </row>
    <row r="221" spans="1:24">
      <c r="A221" s="21">
        <v>46212</v>
      </c>
      <c r="B221" s="65" t="s">
        <v>1217</v>
      </c>
      <c r="C221" s="65"/>
      <c r="F221" s="15"/>
      <c r="G221" s="8"/>
      <c r="H221" s="8"/>
      <c r="I221" s="8"/>
      <c r="T221" s="16"/>
      <c r="U221" s="14"/>
      <c r="V221" s="14"/>
      <c r="X221" s="4"/>
    </row>
    <row r="222" spans="1:24">
      <c r="A222" s="21">
        <v>46213</v>
      </c>
      <c r="B222" s="65" t="s">
        <v>1453</v>
      </c>
      <c r="C222" s="65"/>
      <c r="F222" s="15"/>
      <c r="G222" s="8"/>
      <c r="H222" s="8"/>
      <c r="I222" s="8"/>
      <c r="T222" s="16"/>
      <c r="U222" s="14"/>
      <c r="V222" s="14"/>
      <c r="X222" s="4"/>
    </row>
    <row r="223" spans="1:24">
      <c r="A223" s="21">
        <v>46214</v>
      </c>
      <c r="B223" s="65" t="s">
        <v>1454</v>
      </c>
      <c r="C223" s="65"/>
      <c r="F223" s="15"/>
      <c r="G223" s="8"/>
      <c r="H223" s="8"/>
      <c r="I223" s="8"/>
      <c r="T223" s="16"/>
      <c r="U223" s="14"/>
      <c r="V223" s="14"/>
      <c r="X223" s="4"/>
    </row>
    <row r="224" spans="1:24">
      <c r="A224" s="21">
        <v>46215</v>
      </c>
      <c r="B224" s="65" t="s">
        <v>1455</v>
      </c>
      <c r="C224" s="65"/>
      <c r="F224" s="15"/>
      <c r="G224" s="8"/>
      <c r="H224" s="8"/>
      <c r="I224" s="8"/>
      <c r="T224" s="16"/>
      <c r="U224" s="14"/>
      <c r="V224" s="14"/>
      <c r="X224" s="4"/>
    </row>
    <row r="225" spans="1:24">
      <c r="A225" s="21">
        <v>46216</v>
      </c>
      <c r="B225" s="65" t="s">
        <v>1456</v>
      </c>
      <c r="C225" s="65"/>
      <c r="F225" s="15"/>
      <c r="G225" s="8"/>
      <c r="H225" s="8"/>
      <c r="I225" s="8"/>
      <c r="T225" s="16"/>
      <c r="U225" s="14"/>
      <c r="V225" s="14"/>
      <c r="X225" s="4"/>
    </row>
    <row r="226" spans="1:24">
      <c r="A226" s="21">
        <v>46217</v>
      </c>
      <c r="B226" s="65" t="s">
        <v>1457</v>
      </c>
      <c r="C226" s="65"/>
      <c r="F226" s="15"/>
      <c r="G226" s="8"/>
      <c r="H226" s="8"/>
      <c r="I226" s="8"/>
      <c r="T226" s="16"/>
      <c r="U226" s="14"/>
      <c r="V226" s="14"/>
      <c r="X226" s="4"/>
    </row>
    <row r="227" spans="1:24">
      <c r="A227" s="21">
        <v>46218</v>
      </c>
      <c r="B227" s="65" t="s">
        <v>1458</v>
      </c>
      <c r="C227" s="65"/>
      <c r="F227" s="15"/>
      <c r="G227" s="8"/>
      <c r="H227" s="8"/>
      <c r="I227" s="8"/>
      <c r="T227" s="16"/>
      <c r="U227" s="14"/>
      <c r="V227" s="14"/>
      <c r="X227" s="4"/>
    </row>
    <row r="228" spans="1:24">
      <c r="A228" s="21">
        <v>46219</v>
      </c>
      <c r="B228" s="65" t="s">
        <v>1459</v>
      </c>
      <c r="C228" s="65"/>
      <c r="F228" s="15"/>
      <c r="G228" s="8"/>
      <c r="H228" s="8"/>
      <c r="I228" s="8"/>
      <c r="T228" s="16"/>
      <c r="U228" s="14"/>
      <c r="V228" s="14"/>
      <c r="X228" s="4"/>
    </row>
    <row r="229" spans="1:24">
      <c r="A229" s="21">
        <v>46220</v>
      </c>
      <c r="B229" s="65" t="s">
        <v>1460</v>
      </c>
      <c r="C229" s="65"/>
      <c r="F229" s="15"/>
      <c r="G229" s="8"/>
      <c r="H229" s="8"/>
      <c r="I229" s="8"/>
      <c r="T229" s="16"/>
      <c r="U229" s="14"/>
      <c r="V229" s="14"/>
      <c r="X229" s="4"/>
    </row>
    <row r="230" spans="1:24">
      <c r="A230" s="21">
        <v>46221</v>
      </c>
      <c r="B230" s="65" t="s">
        <v>1461</v>
      </c>
      <c r="C230" s="65"/>
      <c r="F230" s="15"/>
      <c r="G230" s="8"/>
      <c r="H230" s="8"/>
      <c r="I230" s="8"/>
      <c r="T230" s="16"/>
      <c r="U230" s="14"/>
      <c r="V230" s="14"/>
      <c r="X230" s="4"/>
    </row>
    <row r="231" spans="1:24">
      <c r="A231" s="21">
        <v>46222</v>
      </c>
      <c r="B231" s="65" t="s">
        <v>1462</v>
      </c>
      <c r="C231" s="65"/>
      <c r="F231" s="15"/>
      <c r="G231" s="8"/>
      <c r="H231" s="8"/>
      <c r="I231" s="8"/>
      <c r="T231" s="16"/>
      <c r="U231" s="14"/>
      <c r="V231" s="14"/>
      <c r="X231" s="4"/>
    </row>
    <row r="232" spans="1:24">
      <c r="A232" s="21">
        <v>46223</v>
      </c>
      <c r="B232" s="65" t="s">
        <v>1463</v>
      </c>
      <c r="C232" s="65"/>
      <c r="F232" s="15"/>
      <c r="G232" s="8"/>
      <c r="H232" s="8"/>
      <c r="I232" s="8"/>
      <c r="T232" s="16"/>
      <c r="U232" s="14"/>
      <c r="V232" s="14"/>
      <c r="X232" s="4"/>
    </row>
    <row r="233" spans="1:24">
      <c r="A233" s="21">
        <v>46224</v>
      </c>
      <c r="B233" s="65" t="s">
        <v>1464</v>
      </c>
      <c r="C233" s="65"/>
      <c r="F233" s="15"/>
      <c r="G233" s="8"/>
      <c r="H233" s="8"/>
      <c r="I233" s="8"/>
      <c r="T233" s="16"/>
      <c r="U233" s="14"/>
      <c r="V233" s="14"/>
      <c r="X233" s="4"/>
    </row>
    <row r="234" spans="1:24">
      <c r="A234" s="21">
        <v>46225</v>
      </c>
      <c r="B234" s="65" t="s">
        <v>1218</v>
      </c>
      <c r="C234" s="65"/>
      <c r="F234" s="15"/>
      <c r="G234" s="8"/>
      <c r="H234" s="8"/>
      <c r="I234" s="8"/>
      <c r="T234" s="16"/>
      <c r="U234" s="14"/>
      <c r="V234" s="14"/>
      <c r="X234" s="4"/>
    </row>
    <row r="235" spans="1:24">
      <c r="A235" s="21">
        <v>46226</v>
      </c>
      <c r="B235" s="65" t="s">
        <v>1465</v>
      </c>
      <c r="C235" s="65"/>
      <c r="F235" s="15"/>
      <c r="G235" s="8"/>
      <c r="H235" s="8"/>
      <c r="I235" s="8"/>
      <c r="T235" s="16"/>
      <c r="U235" s="14"/>
      <c r="V235" s="14"/>
      <c r="X235" s="4"/>
    </row>
    <row r="236" spans="1:24">
      <c r="A236" s="21">
        <v>46227</v>
      </c>
      <c r="B236" s="65" t="s">
        <v>1466</v>
      </c>
      <c r="C236" s="65"/>
      <c r="F236" s="15"/>
      <c r="G236" s="8"/>
      <c r="H236" s="8"/>
      <c r="I236" s="8"/>
      <c r="T236" s="16"/>
      <c r="U236" s="14"/>
      <c r="V236" s="14"/>
      <c r="X236" s="4"/>
    </row>
    <row r="237" spans="1:24">
      <c r="A237" s="21">
        <v>46228</v>
      </c>
      <c r="B237" s="65" t="s">
        <v>1467</v>
      </c>
      <c r="C237" s="65"/>
      <c r="F237" s="15"/>
      <c r="G237" s="8"/>
      <c r="H237" s="8"/>
      <c r="I237" s="8"/>
      <c r="T237" s="16"/>
      <c r="U237" s="14"/>
      <c r="V237" s="14"/>
      <c r="X237" s="4"/>
    </row>
    <row r="238" spans="1:24">
      <c r="A238" s="21">
        <v>46229</v>
      </c>
      <c r="B238" s="65" t="s">
        <v>1468</v>
      </c>
      <c r="C238" s="65"/>
      <c r="F238" s="15"/>
      <c r="G238" s="8"/>
      <c r="H238" s="8"/>
      <c r="I238" s="8"/>
      <c r="T238" s="16"/>
      <c r="U238" s="14"/>
      <c r="V238" s="14"/>
      <c r="X238" s="4"/>
    </row>
    <row r="239" spans="1:24">
      <c r="A239" s="21">
        <v>46230</v>
      </c>
      <c r="B239" s="65" t="s">
        <v>1469</v>
      </c>
      <c r="C239" s="65"/>
      <c r="F239" s="15"/>
      <c r="G239" s="8"/>
      <c r="H239" s="8"/>
      <c r="I239" s="8"/>
      <c r="T239" s="16"/>
      <c r="U239" s="14"/>
      <c r="V239" s="14"/>
      <c r="X239" s="4"/>
    </row>
    <row r="240" spans="1:24">
      <c r="A240" s="21">
        <v>46231</v>
      </c>
      <c r="B240" s="65" t="s">
        <v>1470</v>
      </c>
      <c r="C240" s="65"/>
      <c r="F240" s="15"/>
      <c r="G240" s="8"/>
      <c r="H240" s="8"/>
      <c r="I240" s="8"/>
      <c r="T240" s="16"/>
      <c r="U240" s="14"/>
      <c r="V240" s="14"/>
      <c r="X240" s="4"/>
    </row>
    <row r="241" spans="1:24">
      <c r="A241" s="21">
        <v>46232</v>
      </c>
      <c r="B241" s="65" t="s">
        <v>1471</v>
      </c>
      <c r="C241" s="65"/>
      <c r="F241" s="15"/>
      <c r="G241" s="8"/>
      <c r="H241" s="8"/>
      <c r="I241" s="8"/>
      <c r="T241" s="16"/>
      <c r="U241" s="14"/>
      <c r="V241" s="14"/>
      <c r="X241" s="4"/>
    </row>
    <row r="242" spans="1:24">
      <c r="A242" s="21">
        <v>46233</v>
      </c>
      <c r="B242" s="65" t="s">
        <v>1472</v>
      </c>
      <c r="C242" s="65"/>
      <c r="F242" s="15"/>
      <c r="G242" s="8"/>
      <c r="H242" s="8"/>
      <c r="I242" s="8"/>
      <c r="T242" s="16"/>
      <c r="U242" s="14"/>
      <c r="V242" s="14"/>
      <c r="X242" s="4"/>
    </row>
    <row r="243" spans="1:24">
      <c r="A243" s="21">
        <v>46234</v>
      </c>
      <c r="B243" s="65" t="s">
        <v>1473</v>
      </c>
      <c r="C243" s="65"/>
      <c r="F243" s="15"/>
      <c r="G243" s="8"/>
      <c r="H243" s="8"/>
      <c r="I243" s="8"/>
      <c r="T243" s="16"/>
      <c r="U243" s="14"/>
      <c r="V243" s="14"/>
      <c r="X243" s="4"/>
    </row>
    <row r="244" spans="1:24">
      <c r="A244" s="21">
        <v>46235</v>
      </c>
      <c r="B244" s="65" t="s">
        <v>1474</v>
      </c>
      <c r="C244" s="65"/>
      <c r="F244" s="15"/>
      <c r="G244" s="8"/>
      <c r="H244" s="8"/>
      <c r="I244" s="8"/>
      <c r="T244" s="16"/>
      <c r="U244" s="14"/>
      <c r="V244" s="14"/>
      <c r="X244" s="4"/>
    </row>
    <row r="245" spans="1:24">
      <c r="A245" s="21">
        <v>46236</v>
      </c>
      <c r="B245" s="65" t="s">
        <v>1475</v>
      </c>
      <c r="C245" s="65"/>
      <c r="F245" s="15"/>
      <c r="G245" s="8"/>
      <c r="H245" s="8"/>
      <c r="I245" s="8"/>
      <c r="T245" s="14"/>
      <c r="U245" s="14"/>
      <c r="V245" s="14"/>
      <c r="X245" s="4"/>
    </row>
    <row r="246" spans="1:24">
      <c r="A246" s="21">
        <v>46237</v>
      </c>
      <c r="B246" s="65" t="s">
        <v>1476</v>
      </c>
      <c r="C246" s="65"/>
      <c r="F246" s="15"/>
      <c r="G246" s="8"/>
      <c r="H246" s="8"/>
      <c r="I246" s="8"/>
      <c r="T246" s="14"/>
      <c r="U246" s="14"/>
      <c r="V246" s="14"/>
      <c r="X246" s="4"/>
    </row>
    <row r="247" spans="1:24">
      <c r="A247" s="21">
        <v>46238</v>
      </c>
      <c r="B247" s="65" t="s">
        <v>1219</v>
      </c>
      <c r="C247" s="65"/>
      <c r="F247" s="15"/>
      <c r="G247" s="8"/>
      <c r="H247" s="8"/>
      <c r="I247" s="8"/>
      <c r="T247" s="14"/>
      <c r="U247" s="14"/>
      <c r="V247" s="14"/>
      <c r="X247" s="4"/>
    </row>
    <row r="248" spans="1:24">
      <c r="A248" s="21">
        <v>46239</v>
      </c>
      <c r="B248" s="65" t="s">
        <v>1477</v>
      </c>
      <c r="C248" s="65"/>
      <c r="F248" s="15"/>
      <c r="G248" s="8"/>
      <c r="H248" s="8"/>
      <c r="I248" s="8"/>
      <c r="T248" s="14"/>
      <c r="U248" s="14"/>
      <c r="V248" s="14"/>
      <c r="X248" s="4"/>
    </row>
    <row r="249" spans="1:24">
      <c r="A249" s="21">
        <v>46240</v>
      </c>
      <c r="B249" s="65" t="s">
        <v>1478</v>
      </c>
      <c r="C249" s="65"/>
      <c r="F249" s="15"/>
      <c r="G249" s="8"/>
      <c r="H249" s="8"/>
      <c r="I249" s="8"/>
      <c r="T249" s="14"/>
      <c r="U249" s="14"/>
      <c r="V249" s="14"/>
      <c r="X249" s="4"/>
    </row>
    <row r="250" spans="1:24">
      <c r="A250" s="21">
        <v>46241</v>
      </c>
      <c r="B250" s="65" t="s">
        <v>1479</v>
      </c>
      <c r="C250" s="65"/>
      <c r="F250" s="15"/>
      <c r="G250" s="8"/>
      <c r="H250" s="8"/>
      <c r="I250" s="8"/>
      <c r="S250" s="16"/>
      <c r="T250" s="14"/>
      <c r="U250" s="14"/>
      <c r="V250" s="14"/>
      <c r="X250" s="4"/>
    </row>
    <row r="251" spans="1:24">
      <c r="A251" s="21">
        <v>46242</v>
      </c>
      <c r="B251" s="65" t="s">
        <v>1480</v>
      </c>
      <c r="C251" s="65"/>
      <c r="F251" s="15"/>
      <c r="G251" s="8"/>
      <c r="H251" s="8"/>
      <c r="I251" s="8"/>
      <c r="S251" s="16"/>
      <c r="T251" s="14"/>
      <c r="U251" s="14"/>
      <c r="V251" s="14"/>
      <c r="X251" s="4"/>
    </row>
    <row r="252" spans="1:24">
      <c r="A252" s="21">
        <v>46243</v>
      </c>
      <c r="B252" s="65" t="s">
        <v>1481</v>
      </c>
      <c r="C252" s="65"/>
      <c r="F252" s="15"/>
      <c r="G252" s="8"/>
      <c r="H252" s="8"/>
      <c r="I252" s="8"/>
      <c r="S252" s="16"/>
      <c r="T252" s="14"/>
      <c r="U252" s="14"/>
      <c r="V252" s="14"/>
      <c r="X252" s="4"/>
    </row>
    <row r="253" spans="1:24">
      <c r="A253" s="21">
        <v>46244</v>
      </c>
      <c r="B253" s="65" t="s">
        <v>1482</v>
      </c>
      <c r="C253" s="65"/>
      <c r="F253" s="15"/>
      <c r="G253" s="8"/>
      <c r="H253" s="8"/>
      <c r="I253" s="8"/>
      <c r="S253" s="16"/>
      <c r="T253" s="14"/>
      <c r="U253" s="14"/>
      <c r="V253" s="14"/>
      <c r="X253" s="4"/>
    </row>
    <row r="254" spans="1:24">
      <c r="A254" s="21">
        <v>46245</v>
      </c>
      <c r="B254" s="65" t="s">
        <v>1483</v>
      </c>
      <c r="C254" s="65"/>
      <c r="F254" s="15"/>
      <c r="G254" s="8"/>
      <c r="H254" s="8"/>
      <c r="I254" s="8"/>
      <c r="P254" s="8"/>
      <c r="S254" s="16"/>
      <c r="U254" s="14"/>
      <c r="V254" s="14"/>
      <c r="X254" s="4"/>
    </row>
    <row r="255" spans="1:24">
      <c r="A255" s="21">
        <v>46246</v>
      </c>
      <c r="B255" s="65" t="s">
        <v>1484</v>
      </c>
      <c r="C255" s="65"/>
      <c r="F255" s="15"/>
      <c r="G255" s="8"/>
      <c r="H255" s="8"/>
      <c r="I255" s="8"/>
      <c r="P255" s="8"/>
      <c r="S255" s="16"/>
      <c r="T255" s="15"/>
      <c r="U255" s="14"/>
      <c r="V255" s="14"/>
      <c r="X255" s="4"/>
    </row>
    <row r="256" spans="1:24">
      <c r="A256" s="21">
        <v>46247</v>
      </c>
      <c r="B256" s="65" t="s">
        <v>1485</v>
      </c>
      <c r="C256" s="65"/>
      <c r="F256" s="15"/>
      <c r="G256" s="8"/>
      <c r="H256" s="8"/>
      <c r="I256" s="8"/>
      <c r="P256" s="8"/>
      <c r="S256" s="16"/>
      <c r="T256" s="15"/>
      <c r="U256" s="14"/>
      <c r="V256" s="14"/>
      <c r="X256" s="4"/>
    </row>
    <row r="257" spans="1:24">
      <c r="A257" s="21">
        <v>46248</v>
      </c>
      <c r="B257" s="65" t="s">
        <v>1486</v>
      </c>
      <c r="C257" s="65"/>
      <c r="F257" s="15"/>
      <c r="G257" s="8"/>
      <c r="H257" s="8"/>
      <c r="I257" s="8"/>
      <c r="P257" s="8"/>
      <c r="S257" s="16"/>
      <c r="U257" s="14"/>
      <c r="V257" s="14"/>
      <c r="X257" s="4"/>
    </row>
    <row r="258" spans="1:24">
      <c r="A258" s="21">
        <v>46249</v>
      </c>
      <c r="B258" s="65" t="s">
        <v>1487</v>
      </c>
      <c r="C258" s="65"/>
      <c r="F258" s="15"/>
      <c r="G258" s="8"/>
      <c r="H258" s="8"/>
      <c r="I258" s="8"/>
      <c r="S258" s="16"/>
      <c r="T258" s="16"/>
      <c r="U258" s="14"/>
      <c r="V258" s="14"/>
      <c r="X258" s="4"/>
    </row>
    <row r="259" spans="1:24">
      <c r="A259" s="21">
        <v>46250</v>
      </c>
      <c r="B259" s="65" t="s">
        <v>1488</v>
      </c>
      <c r="C259" s="65"/>
      <c r="F259" s="15"/>
      <c r="G259" s="8"/>
      <c r="H259" s="8"/>
      <c r="I259" s="8"/>
      <c r="T259" s="16"/>
      <c r="U259" s="14"/>
      <c r="V259" s="14"/>
      <c r="X259" s="4"/>
    </row>
    <row r="260" spans="1:24">
      <c r="A260" s="21">
        <v>46251</v>
      </c>
      <c r="B260" s="65" t="s">
        <v>1220</v>
      </c>
      <c r="C260" s="65"/>
      <c r="F260" s="15"/>
      <c r="G260" s="8"/>
      <c r="H260" s="8"/>
      <c r="I260" s="8"/>
      <c r="T260" s="16"/>
      <c r="U260" s="14"/>
      <c r="V260" s="14"/>
      <c r="X260" s="4"/>
    </row>
    <row r="261" spans="1:24">
      <c r="A261" s="21">
        <v>46252</v>
      </c>
      <c r="B261" s="65" t="s">
        <v>1489</v>
      </c>
      <c r="C261" s="65"/>
      <c r="F261" s="15"/>
      <c r="G261" s="8"/>
      <c r="H261" s="8"/>
      <c r="I261" s="8"/>
      <c r="R261" s="15"/>
      <c r="T261" s="16"/>
      <c r="U261" s="14"/>
      <c r="V261" s="14"/>
      <c r="X261" s="4"/>
    </row>
    <row r="262" spans="1:24">
      <c r="A262" s="21">
        <v>46253</v>
      </c>
      <c r="B262" s="65" t="s">
        <v>1490</v>
      </c>
      <c r="C262" s="65"/>
      <c r="F262" s="15"/>
      <c r="G262" s="8"/>
      <c r="H262" s="8"/>
      <c r="I262" s="8"/>
      <c r="R262" s="15"/>
      <c r="T262" s="16"/>
      <c r="U262" s="14"/>
      <c r="V262" s="14"/>
      <c r="W262" s="14"/>
      <c r="X262" s="4"/>
    </row>
    <row r="263" spans="1:24">
      <c r="A263" s="21">
        <v>46254</v>
      </c>
      <c r="B263" s="65" t="s">
        <v>1491</v>
      </c>
      <c r="C263" s="65"/>
      <c r="F263" s="15"/>
      <c r="G263" s="8"/>
      <c r="H263" s="8"/>
      <c r="I263" s="8"/>
      <c r="P263" s="8"/>
      <c r="T263" s="15"/>
      <c r="V263" s="14"/>
      <c r="W263" s="14"/>
      <c r="X263" s="4"/>
    </row>
    <row r="264" spans="1:24">
      <c r="A264" s="21">
        <v>46255</v>
      </c>
      <c r="B264" s="65" t="s">
        <v>1492</v>
      </c>
      <c r="C264" s="65"/>
      <c r="F264" s="15"/>
      <c r="G264" s="8"/>
      <c r="H264" s="8"/>
      <c r="I264" s="8"/>
      <c r="P264" s="8"/>
      <c r="T264" s="15"/>
      <c r="U264" s="15"/>
      <c r="V264" s="14"/>
      <c r="W264" s="14"/>
      <c r="X264" s="4"/>
    </row>
    <row r="265" spans="1:24">
      <c r="A265" s="21">
        <v>46256</v>
      </c>
      <c r="B265" s="65" t="s">
        <v>1493</v>
      </c>
      <c r="C265" s="65"/>
      <c r="F265" s="15"/>
      <c r="G265" s="8"/>
      <c r="H265" s="8"/>
      <c r="I265" s="8"/>
      <c r="P265" s="8"/>
      <c r="U265" s="15"/>
      <c r="V265" s="14"/>
      <c r="W265" s="14"/>
      <c r="X265" s="4"/>
    </row>
    <row r="266" spans="1:24">
      <c r="A266" s="21">
        <v>46257</v>
      </c>
      <c r="B266" s="65" t="s">
        <v>1494</v>
      </c>
      <c r="C266" s="65"/>
      <c r="F266" s="15"/>
      <c r="G266" s="8"/>
      <c r="H266" s="8"/>
      <c r="I266" s="8"/>
      <c r="T266" s="16"/>
      <c r="U266" s="15"/>
      <c r="V266" s="14"/>
      <c r="W266" s="14"/>
      <c r="X266" s="4"/>
    </row>
    <row r="267" spans="1:24">
      <c r="A267" s="21">
        <v>46258</v>
      </c>
      <c r="B267" s="65" t="s">
        <v>1495</v>
      </c>
      <c r="C267" s="65"/>
      <c r="F267" s="15"/>
      <c r="G267" s="8"/>
      <c r="H267" s="8"/>
      <c r="I267" s="8"/>
      <c r="T267" s="16"/>
      <c r="V267" s="14"/>
      <c r="W267" s="14"/>
      <c r="X267" s="4"/>
    </row>
    <row r="268" spans="1:24">
      <c r="A268" s="21">
        <v>46259</v>
      </c>
      <c r="B268" s="65" t="s">
        <v>1496</v>
      </c>
      <c r="C268" s="65"/>
      <c r="F268" s="15"/>
      <c r="G268" s="8"/>
      <c r="H268" s="8"/>
      <c r="I268" s="8"/>
      <c r="N268" s="8"/>
      <c r="O268" s="8"/>
      <c r="T268" s="16"/>
      <c r="U268" s="14"/>
      <c r="V268" s="14"/>
      <c r="W268" s="14"/>
      <c r="X268" s="4"/>
    </row>
    <row r="269" spans="1:24">
      <c r="A269" s="21">
        <v>46260</v>
      </c>
      <c r="B269" s="65" t="s">
        <v>1497</v>
      </c>
      <c r="C269" s="65"/>
      <c r="F269" s="15"/>
      <c r="G269" s="8"/>
      <c r="H269" s="8"/>
      <c r="I269" s="8"/>
      <c r="N269" s="8"/>
      <c r="O269" s="8"/>
      <c r="P269" s="8"/>
      <c r="T269" s="16"/>
      <c r="U269" s="14"/>
      <c r="V269" s="14"/>
      <c r="W269" s="14"/>
      <c r="X269" s="4"/>
    </row>
    <row r="270" spans="1:24">
      <c r="A270" s="21">
        <v>46261</v>
      </c>
      <c r="B270" s="65" t="s">
        <v>1498</v>
      </c>
      <c r="C270" s="65"/>
      <c r="F270" s="15"/>
      <c r="G270" s="8"/>
      <c r="H270" s="8"/>
      <c r="I270" s="8"/>
      <c r="O270" s="8"/>
      <c r="P270" s="8"/>
      <c r="U270" s="14"/>
      <c r="V270" s="14"/>
      <c r="W270" s="14"/>
      <c r="X270" s="4"/>
    </row>
    <row r="271" spans="1:24">
      <c r="A271" s="21">
        <v>46262</v>
      </c>
      <c r="B271" s="65" t="s">
        <v>1499</v>
      </c>
      <c r="C271" s="65"/>
      <c r="F271" s="15"/>
      <c r="G271" s="8"/>
      <c r="H271" s="8"/>
      <c r="I271" s="8"/>
      <c r="N271" s="15"/>
      <c r="O271" s="8"/>
      <c r="U271" s="14"/>
      <c r="V271" s="14"/>
      <c r="X271" s="4"/>
    </row>
    <row r="272" spans="1:24">
      <c r="A272" s="21">
        <v>46263</v>
      </c>
      <c r="B272" s="65" t="s">
        <v>1500</v>
      </c>
      <c r="C272" s="65"/>
      <c r="F272" s="15"/>
      <c r="G272" s="8"/>
      <c r="H272" s="8"/>
      <c r="I272" s="8"/>
      <c r="N272" s="15"/>
      <c r="U272" s="14"/>
      <c r="V272" s="14"/>
      <c r="W272" s="8"/>
      <c r="X272" s="4"/>
    </row>
    <row r="273" spans="1:38">
      <c r="A273" s="21">
        <v>46264</v>
      </c>
      <c r="B273" s="65" t="s">
        <v>1221</v>
      </c>
      <c r="C273" s="65"/>
      <c r="F273" s="15"/>
      <c r="G273" s="8"/>
      <c r="H273" s="8"/>
      <c r="I273" s="8"/>
      <c r="N273" s="15"/>
      <c r="S273" s="15"/>
      <c r="U273" s="15"/>
      <c r="V273" s="14"/>
      <c r="W273" s="8"/>
      <c r="X273" s="4"/>
    </row>
    <row r="274" spans="1:38">
      <c r="A274" s="21">
        <v>46265</v>
      </c>
      <c r="B274" s="65" t="s">
        <v>1501</v>
      </c>
      <c r="C274" s="65"/>
      <c r="F274" s="15"/>
      <c r="G274" s="8"/>
      <c r="H274" s="8"/>
      <c r="I274" s="8"/>
      <c r="N274" s="15"/>
      <c r="S274" s="15"/>
      <c r="U274" s="15"/>
      <c r="V274" s="14"/>
      <c r="X274" s="4"/>
      <c r="Z274" s="14"/>
      <c r="AA274" s="14"/>
      <c r="AC274" s="14"/>
    </row>
    <row r="275" spans="1:38">
      <c r="A275" s="21">
        <v>46266</v>
      </c>
      <c r="B275" s="65" t="s">
        <v>1502</v>
      </c>
      <c r="C275" s="65"/>
      <c r="F275" s="15"/>
      <c r="G275" s="8"/>
      <c r="H275" s="8"/>
      <c r="I275" s="8"/>
      <c r="S275" s="15"/>
      <c r="V275" s="14"/>
      <c r="W275" s="16"/>
      <c r="X275" s="4"/>
    </row>
    <row r="276" spans="1:38">
      <c r="A276" s="21">
        <v>46267</v>
      </c>
      <c r="B276" s="65" t="s">
        <v>1503</v>
      </c>
      <c r="C276" s="65"/>
      <c r="F276" s="15"/>
      <c r="G276" s="8"/>
      <c r="H276" s="8"/>
      <c r="I276" s="8"/>
      <c r="P276" s="8"/>
      <c r="U276" s="14"/>
      <c r="V276" s="14"/>
      <c r="W276" s="16"/>
      <c r="X276" s="4"/>
      <c r="Y276" s="16"/>
    </row>
    <row r="277" spans="1:38">
      <c r="A277" s="21">
        <v>46268</v>
      </c>
      <c r="B277" s="65" t="s">
        <v>1504</v>
      </c>
      <c r="C277" s="65"/>
      <c r="F277" s="15"/>
      <c r="G277" s="8"/>
      <c r="H277" s="8"/>
      <c r="I277" s="8"/>
      <c r="J277" s="8"/>
      <c r="K277" s="15"/>
      <c r="L277" s="15"/>
      <c r="O277" s="8"/>
      <c r="P277" s="8"/>
      <c r="U277" s="14"/>
      <c r="V277" s="14"/>
      <c r="W277" s="16"/>
      <c r="X277" s="4"/>
      <c r="Z277" s="16"/>
      <c r="AA277" s="14"/>
      <c r="AB277" s="14"/>
      <c r="AC277" s="16"/>
      <c r="AD277" s="14"/>
      <c r="AG277" s="16"/>
      <c r="AH277" s="14"/>
      <c r="AI277" s="14"/>
      <c r="AJ277" s="16"/>
      <c r="AK277" s="14"/>
    </row>
    <row r="278" spans="1:38">
      <c r="A278" s="21">
        <v>46269</v>
      </c>
      <c r="B278" s="65" t="s">
        <v>1505</v>
      </c>
      <c r="C278" s="65"/>
      <c r="F278" s="15"/>
      <c r="G278" s="8"/>
      <c r="H278" s="8"/>
      <c r="I278" s="8"/>
      <c r="J278" s="8"/>
      <c r="K278" s="15"/>
      <c r="L278" s="15"/>
      <c r="O278" s="8"/>
      <c r="P278" s="8"/>
      <c r="U278" s="14"/>
      <c r="V278" s="14"/>
      <c r="W278" s="16"/>
      <c r="X278" s="8"/>
      <c r="AH278" s="16"/>
      <c r="AI278" s="14"/>
      <c r="AJ278" s="14"/>
      <c r="AK278" s="16"/>
      <c r="AL278" s="14"/>
    </row>
    <row r="279" spans="1:38">
      <c r="A279" s="21">
        <v>46270</v>
      </c>
      <c r="B279" s="65" t="s">
        <v>1506</v>
      </c>
      <c r="C279" s="65"/>
      <c r="F279" s="15"/>
      <c r="H279" s="8"/>
      <c r="I279" s="8"/>
      <c r="J279" s="8"/>
      <c r="K279" s="15"/>
      <c r="L279" s="15"/>
      <c r="M279" s="15"/>
      <c r="O279" s="15"/>
      <c r="U279" s="14"/>
      <c r="W279" s="16"/>
      <c r="X279" s="4"/>
    </row>
    <row r="280" spans="1:38">
      <c r="A280" s="21">
        <v>46271</v>
      </c>
      <c r="B280" s="65" t="s">
        <v>1507</v>
      </c>
      <c r="C280" s="65"/>
      <c r="F280" s="15"/>
      <c r="H280" s="8"/>
      <c r="I280" s="8"/>
      <c r="J280" s="8"/>
      <c r="L280" s="15"/>
      <c r="M280" s="15"/>
      <c r="N280" s="15"/>
      <c r="X280" s="14"/>
    </row>
    <row r="281" spans="1:38">
      <c r="A281" s="21">
        <v>46272</v>
      </c>
      <c r="B281" s="65" t="s">
        <v>1508</v>
      </c>
      <c r="C281" s="65"/>
      <c r="F281" s="15"/>
      <c r="H281" s="8"/>
      <c r="I281" s="8"/>
      <c r="M281" s="15"/>
      <c r="N281" s="15"/>
      <c r="X281" s="14"/>
    </row>
    <row r="282" spans="1:38">
      <c r="A282" s="21">
        <v>46273</v>
      </c>
      <c r="B282" s="65" t="s">
        <v>1509</v>
      </c>
      <c r="C282" s="65"/>
      <c r="F282" s="15"/>
      <c r="H282" s="73"/>
      <c r="I282" s="8"/>
      <c r="M282" s="15"/>
      <c r="N282" s="15"/>
      <c r="X282" s="14"/>
    </row>
    <row r="283" spans="1:38">
      <c r="A283" s="21">
        <v>46274</v>
      </c>
      <c r="B283" s="65" t="s">
        <v>1510</v>
      </c>
      <c r="C283" s="65"/>
      <c r="F283" s="15"/>
      <c r="H283" s="8"/>
      <c r="I283" s="8"/>
      <c r="W283" s="16"/>
      <c r="X283" s="14"/>
    </row>
    <row r="284" spans="1:38">
      <c r="A284" s="21">
        <v>46275</v>
      </c>
      <c r="B284" s="65" t="s">
        <v>1511</v>
      </c>
      <c r="C284" s="65"/>
      <c r="F284" s="15"/>
      <c r="G284" s="15"/>
      <c r="H284" s="8"/>
      <c r="I284" s="8"/>
      <c r="W284" s="16"/>
      <c r="X284" s="14"/>
    </row>
    <row r="285" spans="1:38">
      <c r="A285" s="21">
        <v>46276</v>
      </c>
      <c r="B285" s="65" t="s">
        <v>1512</v>
      </c>
      <c r="C285" s="65"/>
      <c r="F285" s="15"/>
      <c r="G285" s="15"/>
      <c r="H285" s="8"/>
      <c r="I285" s="8"/>
      <c r="K285" s="15"/>
      <c r="W285" s="16"/>
      <c r="X285" s="4"/>
      <c r="Z285" s="16"/>
      <c r="AA285" s="14"/>
      <c r="AB285" s="14"/>
      <c r="AC285" s="16"/>
      <c r="AD285" s="14"/>
      <c r="AH285" s="16"/>
      <c r="AI285" s="14"/>
      <c r="AJ285" s="14"/>
      <c r="AK285" s="16"/>
      <c r="AL285" s="14"/>
    </row>
    <row r="286" spans="1:38">
      <c r="A286" s="21">
        <v>46277</v>
      </c>
      <c r="B286" s="65" t="s">
        <v>1222</v>
      </c>
      <c r="C286" s="65"/>
      <c r="F286" s="15"/>
      <c r="G286" s="15"/>
      <c r="H286" s="8"/>
      <c r="I286" s="8"/>
      <c r="K286" s="15"/>
      <c r="L286" s="15"/>
      <c r="W286" s="16"/>
      <c r="X286" s="4"/>
      <c r="AH286" s="16"/>
      <c r="AI286" s="14"/>
      <c r="AJ286" s="14"/>
      <c r="AK286" s="16"/>
      <c r="AL286" s="14"/>
    </row>
    <row r="287" spans="1:38">
      <c r="A287" s="21">
        <v>46278</v>
      </c>
      <c r="B287" s="65" t="s">
        <v>1513</v>
      </c>
      <c r="C287" s="65"/>
      <c r="F287" s="15"/>
      <c r="G287" s="15"/>
      <c r="H287" s="8"/>
      <c r="I287" s="8"/>
      <c r="K287" s="15"/>
      <c r="L287" s="15"/>
      <c r="W287" s="16"/>
      <c r="X287" s="4"/>
    </row>
    <row r="288" spans="1:38">
      <c r="A288" s="21">
        <v>46279</v>
      </c>
      <c r="B288" s="65" t="s">
        <v>1514</v>
      </c>
      <c r="C288" s="65"/>
      <c r="F288" s="15"/>
      <c r="G288" s="15"/>
      <c r="H288" s="8"/>
      <c r="I288" s="8"/>
      <c r="K288" s="15"/>
      <c r="L288" s="15"/>
      <c r="M288" s="15"/>
      <c r="W288" s="16"/>
      <c r="X288" s="14"/>
    </row>
    <row r="289" spans="1:24">
      <c r="A289" s="21">
        <v>46280</v>
      </c>
      <c r="B289" s="65" t="s">
        <v>1515</v>
      </c>
      <c r="C289" s="65"/>
      <c r="F289" s="15"/>
      <c r="G289" s="15"/>
      <c r="H289" s="8"/>
      <c r="I289" s="8"/>
      <c r="K289" s="15"/>
      <c r="M289" s="15"/>
      <c r="V289" s="8"/>
      <c r="W289" s="16"/>
      <c r="X289" s="14"/>
    </row>
    <row r="290" spans="1:24">
      <c r="A290" s="21">
        <v>46281</v>
      </c>
      <c r="B290" s="65" t="s">
        <v>1516</v>
      </c>
      <c r="C290" s="65"/>
      <c r="F290" s="15"/>
      <c r="G290" s="15"/>
      <c r="H290" s="8"/>
      <c r="I290" s="8"/>
      <c r="M290" s="15"/>
      <c r="V290" s="15"/>
      <c r="W290" s="16"/>
      <c r="X290" s="14"/>
    </row>
    <row r="291" spans="1:24">
      <c r="A291" s="21">
        <v>46282</v>
      </c>
      <c r="B291" s="65" t="s">
        <v>1517</v>
      </c>
      <c r="C291" s="65"/>
      <c r="F291" s="15"/>
      <c r="G291" s="15"/>
      <c r="H291" s="15"/>
      <c r="I291" s="15"/>
      <c r="J291" s="15"/>
      <c r="W291" s="16"/>
      <c r="X291" s="14"/>
    </row>
    <row r="292" spans="1:24">
      <c r="A292" s="21">
        <v>46283</v>
      </c>
      <c r="B292" s="65" t="s">
        <v>1518</v>
      </c>
      <c r="C292" s="65"/>
      <c r="F292" s="15"/>
      <c r="G292" s="15"/>
      <c r="H292" s="8"/>
      <c r="I292" s="8"/>
      <c r="V292" s="14"/>
      <c r="W292" s="16"/>
      <c r="X292" s="14"/>
    </row>
    <row r="293" spans="1:24">
      <c r="A293" s="21">
        <v>46284</v>
      </c>
      <c r="B293" s="65" t="s">
        <v>1519</v>
      </c>
      <c r="C293" s="65"/>
      <c r="F293" s="15"/>
      <c r="G293" s="15"/>
      <c r="V293" s="14"/>
      <c r="W293" s="16"/>
      <c r="X293" s="14"/>
    </row>
    <row r="294" spans="1:24">
      <c r="A294" s="21">
        <v>46285</v>
      </c>
      <c r="B294" s="65" t="s">
        <v>1520</v>
      </c>
      <c r="C294" s="65"/>
      <c r="F294" s="15"/>
      <c r="G294" s="15"/>
      <c r="V294" s="14"/>
      <c r="W294" s="16"/>
      <c r="X294" s="14"/>
    </row>
    <row r="295" spans="1:24">
      <c r="A295" s="21">
        <v>46286</v>
      </c>
      <c r="B295" s="65" t="s">
        <v>1521</v>
      </c>
      <c r="C295" s="65"/>
      <c r="F295" s="15"/>
      <c r="G295" s="15"/>
      <c r="V295" s="14"/>
      <c r="W295" s="16"/>
      <c r="X295" s="14"/>
    </row>
    <row r="296" spans="1:24">
      <c r="A296" s="21">
        <v>46287</v>
      </c>
      <c r="B296" s="65" t="s">
        <v>1522</v>
      </c>
      <c r="C296" s="65"/>
      <c r="F296" s="15"/>
      <c r="G296" s="15"/>
      <c r="V296" s="14"/>
      <c r="W296" s="16"/>
      <c r="X296" s="14"/>
    </row>
    <row r="297" spans="1:24">
      <c r="A297" s="21">
        <v>46288</v>
      </c>
      <c r="B297" s="65" t="s">
        <v>1523</v>
      </c>
      <c r="C297" s="65"/>
      <c r="F297" s="15"/>
      <c r="G297" s="15"/>
      <c r="V297" s="15"/>
      <c r="W297" s="16"/>
      <c r="X297" s="14"/>
    </row>
    <row r="298" spans="1:24">
      <c r="A298" s="21">
        <v>46289</v>
      </c>
      <c r="B298" s="65" t="s">
        <v>1524</v>
      </c>
      <c r="C298" s="65"/>
      <c r="F298" s="15"/>
      <c r="H298" s="15"/>
      <c r="I298" s="15"/>
      <c r="J298" s="15"/>
      <c r="V298" s="15"/>
      <c r="W298" s="16"/>
      <c r="X298" s="14"/>
    </row>
    <row r="299" spans="1:24">
      <c r="A299" s="21">
        <v>46290</v>
      </c>
      <c r="B299" s="65" t="s">
        <v>1223</v>
      </c>
      <c r="C299" s="65"/>
      <c r="F299" s="15"/>
      <c r="H299" s="15"/>
      <c r="I299" s="15"/>
      <c r="J299" s="15"/>
      <c r="W299" s="16"/>
      <c r="X299" s="14"/>
    </row>
    <row r="300" spans="1:24">
      <c r="A300" s="21">
        <v>46291</v>
      </c>
      <c r="B300" s="65" t="s">
        <v>1525</v>
      </c>
      <c r="C300" s="65"/>
      <c r="F300" s="15"/>
      <c r="H300" s="15"/>
      <c r="I300" s="15"/>
      <c r="J300" s="15"/>
      <c r="V300" s="14"/>
      <c r="W300" s="16"/>
      <c r="X300" s="14"/>
    </row>
    <row r="301" spans="1:24">
      <c r="A301" s="21">
        <v>46292</v>
      </c>
      <c r="B301" s="65" t="s">
        <v>1526</v>
      </c>
      <c r="C301" s="65"/>
      <c r="F301" s="15"/>
      <c r="H301" s="15"/>
      <c r="I301" s="15"/>
      <c r="J301" s="15"/>
      <c r="V301" s="14"/>
      <c r="W301" s="16"/>
      <c r="X301" s="14"/>
    </row>
    <row r="302" spans="1:24">
      <c r="A302" s="21">
        <v>46293</v>
      </c>
      <c r="B302" s="65" t="s">
        <v>1527</v>
      </c>
      <c r="C302" s="65"/>
      <c r="F302" s="15"/>
      <c r="H302" s="15"/>
      <c r="I302" s="15"/>
      <c r="J302" s="15"/>
      <c r="V302" s="14"/>
      <c r="W302" s="16"/>
      <c r="X302" s="14"/>
    </row>
    <row r="303" spans="1:24">
      <c r="A303" s="21">
        <v>46294</v>
      </c>
      <c r="B303" s="65" t="s">
        <v>1528</v>
      </c>
      <c r="C303" s="65"/>
      <c r="F303" s="15"/>
      <c r="H303" s="15"/>
      <c r="I303" s="15"/>
      <c r="J303" s="15"/>
      <c r="V303" s="14"/>
      <c r="W303" s="16"/>
      <c r="X303" s="14"/>
    </row>
    <row r="304" spans="1:24">
      <c r="A304" s="21">
        <v>46295</v>
      </c>
      <c r="B304" s="65" t="s">
        <v>1529</v>
      </c>
      <c r="C304" s="65"/>
      <c r="F304" s="15"/>
      <c r="H304" s="15"/>
      <c r="I304" s="15"/>
      <c r="J304" s="15"/>
      <c r="W304" s="16"/>
      <c r="X304" s="14"/>
    </row>
    <row r="305" spans="1:24">
      <c r="A305" s="21">
        <v>46296</v>
      </c>
      <c r="B305" s="65" t="s">
        <v>1530</v>
      </c>
      <c r="C305" s="65"/>
      <c r="F305" s="15"/>
      <c r="H305" s="15"/>
      <c r="I305" s="15"/>
      <c r="J305" s="15"/>
      <c r="W305" s="16"/>
      <c r="X305" s="14"/>
    </row>
    <row r="306" spans="1:24">
      <c r="A306" s="21">
        <v>46297</v>
      </c>
      <c r="B306" s="65" t="s">
        <v>1531</v>
      </c>
      <c r="C306" s="65"/>
      <c r="F306" s="15"/>
      <c r="H306" s="15"/>
      <c r="I306" s="15"/>
      <c r="J306" s="15"/>
      <c r="W306" s="16"/>
      <c r="X306" s="14"/>
    </row>
    <row r="307" spans="1:24">
      <c r="A307" s="21">
        <v>46298</v>
      </c>
      <c r="B307" s="65" t="s">
        <v>1532</v>
      </c>
      <c r="C307" s="65"/>
      <c r="F307" s="15"/>
      <c r="H307" s="15"/>
      <c r="I307" s="15"/>
      <c r="J307" s="15"/>
      <c r="W307" s="16"/>
      <c r="X307" s="14"/>
    </row>
    <row r="308" spans="1:24">
      <c r="A308" s="21">
        <v>46299</v>
      </c>
      <c r="B308" s="65" t="s">
        <v>1533</v>
      </c>
      <c r="C308" s="65"/>
      <c r="F308" s="15"/>
      <c r="H308" s="15"/>
      <c r="I308" s="15"/>
      <c r="J308" s="15"/>
      <c r="W308" s="16"/>
      <c r="X308" s="14"/>
    </row>
    <row r="309" spans="1:24">
      <c r="A309" s="21">
        <v>46300</v>
      </c>
      <c r="B309" s="65" t="s">
        <v>1534</v>
      </c>
      <c r="C309" s="65"/>
      <c r="F309" s="15"/>
      <c r="H309" s="15"/>
      <c r="I309" s="15"/>
      <c r="J309" s="15"/>
      <c r="W309" s="16"/>
      <c r="X309" s="14"/>
    </row>
    <row r="310" spans="1:24">
      <c r="A310" s="21">
        <v>46301</v>
      </c>
      <c r="B310" s="65" t="s">
        <v>1535</v>
      </c>
      <c r="C310" s="65"/>
      <c r="F310" s="15"/>
      <c r="H310" s="15"/>
      <c r="I310" s="15"/>
      <c r="J310" s="15"/>
      <c r="W310" s="16"/>
      <c r="X310" s="14"/>
    </row>
    <row r="311" spans="1:24">
      <c r="A311" s="21">
        <v>46302</v>
      </c>
      <c r="B311" s="65" t="s">
        <v>1536</v>
      </c>
      <c r="C311" s="65"/>
      <c r="F311" s="15"/>
      <c r="H311" s="15"/>
      <c r="I311" s="15"/>
      <c r="W311" s="16"/>
      <c r="X311" s="14"/>
    </row>
    <row r="312" spans="1:24">
      <c r="A312" s="21">
        <v>46303</v>
      </c>
      <c r="B312" s="65" t="s">
        <v>1224</v>
      </c>
      <c r="C312" s="65"/>
      <c r="F312" s="15"/>
      <c r="H312" s="15"/>
      <c r="I312" s="15"/>
      <c r="W312" s="16"/>
      <c r="X312" s="14"/>
    </row>
    <row r="313" spans="1:24">
      <c r="A313" s="21">
        <v>46304</v>
      </c>
      <c r="B313" s="65" t="s">
        <v>1537</v>
      </c>
      <c r="C313" s="65"/>
      <c r="F313" s="15"/>
      <c r="W313" s="16"/>
      <c r="X313" s="14"/>
    </row>
    <row r="314" spans="1:24">
      <c r="A314" s="21">
        <v>46305</v>
      </c>
      <c r="B314" s="65" t="s">
        <v>1538</v>
      </c>
      <c r="C314" s="65"/>
      <c r="F314" s="15"/>
      <c r="W314" s="16"/>
      <c r="X314" s="14"/>
    </row>
    <row r="315" spans="1:24">
      <c r="A315" s="21">
        <v>46306</v>
      </c>
      <c r="B315" s="65" t="s">
        <v>1539</v>
      </c>
      <c r="C315" s="65"/>
      <c r="F315" s="15"/>
      <c r="W315" s="16"/>
      <c r="X315" s="14"/>
    </row>
    <row r="316" spans="1:24">
      <c r="A316" s="21">
        <v>46307</v>
      </c>
      <c r="B316" s="65" t="s">
        <v>1540</v>
      </c>
      <c r="C316" s="65"/>
      <c r="F316" s="15"/>
      <c r="W316" s="16"/>
      <c r="X316" s="14"/>
    </row>
    <row r="317" spans="1:24">
      <c r="A317" s="21">
        <v>46308</v>
      </c>
      <c r="B317" s="65" t="s">
        <v>1541</v>
      </c>
      <c r="C317" s="65"/>
      <c r="F317" s="15"/>
      <c r="W317" s="16"/>
      <c r="X317" s="14"/>
    </row>
    <row r="318" spans="1:24">
      <c r="A318" s="21">
        <v>46309</v>
      </c>
      <c r="B318" s="65" t="s">
        <v>1542</v>
      </c>
      <c r="C318" s="65"/>
      <c r="F318" s="15"/>
      <c r="W318" s="16"/>
      <c r="X318" s="14"/>
    </row>
    <row r="319" spans="1:24">
      <c r="A319" s="21">
        <v>46310</v>
      </c>
      <c r="B319" s="65" t="s">
        <v>1543</v>
      </c>
      <c r="C319" s="65"/>
      <c r="F319" s="15"/>
      <c r="W319" s="16"/>
      <c r="X319" s="14"/>
    </row>
    <row r="320" spans="1:24">
      <c r="A320" s="21">
        <v>46311</v>
      </c>
      <c r="B320" s="65" t="s">
        <v>1544</v>
      </c>
      <c r="C320" s="65"/>
      <c r="F320" s="15"/>
      <c r="W320" s="16"/>
      <c r="X320" s="14"/>
    </row>
    <row r="321" spans="1:24">
      <c r="A321" s="21">
        <v>46312</v>
      </c>
      <c r="B321" s="65" t="s">
        <v>1545</v>
      </c>
      <c r="C321" s="65"/>
      <c r="F321" s="15"/>
      <c r="W321" s="16"/>
      <c r="X321" s="14"/>
    </row>
    <row r="322" spans="1:24">
      <c r="A322" s="21">
        <v>46313</v>
      </c>
      <c r="B322" s="65" t="s">
        <v>1546</v>
      </c>
      <c r="C322" s="65"/>
      <c r="F322" s="15"/>
      <c r="W322" s="16"/>
      <c r="X322" s="14"/>
    </row>
    <row r="323" spans="1:24">
      <c r="A323" s="21">
        <v>46314</v>
      </c>
      <c r="B323" s="65" t="s">
        <v>1547</v>
      </c>
      <c r="C323" s="65"/>
      <c r="F323" s="15"/>
      <c r="W323" s="16"/>
      <c r="X323" s="14"/>
    </row>
    <row r="324" spans="1:24">
      <c r="A324" s="21">
        <v>46315</v>
      </c>
      <c r="B324" s="65" t="s">
        <v>1548</v>
      </c>
      <c r="C324" s="65"/>
      <c r="F324" s="15"/>
      <c r="W324" s="16"/>
      <c r="X324" s="14"/>
    </row>
    <row r="325" spans="1:24">
      <c r="A325" s="21">
        <v>46316</v>
      </c>
      <c r="B325" s="65" t="s">
        <v>1225</v>
      </c>
      <c r="C325" s="65"/>
      <c r="F325" s="15"/>
      <c r="W325" s="16"/>
      <c r="X325" s="14"/>
    </row>
    <row r="326" spans="1:24">
      <c r="A326" s="21">
        <v>46317</v>
      </c>
      <c r="B326" s="65" t="s">
        <v>1549</v>
      </c>
      <c r="C326" s="65"/>
      <c r="F326" s="15"/>
      <c r="W326" s="16"/>
      <c r="X326" s="14"/>
    </row>
    <row r="327" spans="1:24">
      <c r="A327" s="21">
        <v>46318</v>
      </c>
      <c r="B327" s="65" t="s">
        <v>1550</v>
      </c>
      <c r="C327" s="65"/>
      <c r="F327" s="15"/>
      <c r="W327" s="16"/>
      <c r="X327" s="14"/>
    </row>
    <row r="328" spans="1:24">
      <c r="A328" s="21">
        <v>46319</v>
      </c>
      <c r="B328" s="65" t="s">
        <v>1551</v>
      </c>
      <c r="C328" s="65"/>
      <c r="F328" s="15"/>
      <c r="W328" s="16"/>
      <c r="X328" s="14"/>
    </row>
    <row r="329" spans="1:24">
      <c r="A329" s="21">
        <v>46320</v>
      </c>
      <c r="B329" s="65" t="s">
        <v>1552</v>
      </c>
      <c r="C329" s="65"/>
      <c r="F329" s="15"/>
      <c r="W329" s="16"/>
      <c r="X329" s="14"/>
    </row>
    <row r="330" spans="1:24">
      <c r="A330" s="21">
        <v>46321</v>
      </c>
      <c r="B330" s="65" t="s">
        <v>1553</v>
      </c>
      <c r="C330" s="65"/>
      <c r="F330" s="15"/>
      <c r="W330" s="16"/>
      <c r="X330" s="14"/>
    </row>
    <row r="331" spans="1:24">
      <c r="A331" s="21">
        <v>46322</v>
      </c>
      <c r="B331" s="65" t="s">
        <v>1554</v>
      </c>
      <c r="C331" s="65"/>
      <c r="F331" s="15"/>
      <c r="W331" s="16"/>
      <c r="X331" s="14"/>
    </row>
    <row r="332" spans="1:24">
      <c r="A332" s="21">
        <v>46323</v>
      </c>
      <c r="B332" s="65" t="s">
        <v>1555</v>
      </c>
      <c r="C332" s="65"/>
      <c r="F332" s="15"/>
      <c r="W332" s="16"/>
      <c r="X332" s="14"/>
    </row>
    <row r="333" spans="1:24">
      <c r="A333" s="21">
        <v>46324</v>
      </c>
      <c r="B333" s="65" t="s">
        <v>1556</v>
      </c>
      <c r="C333" s="65"/>
      <c r="F333" s="15"/>
      <c r="W333" s="16"/>
      <c r="X333" s="14"/>
    </row>
    <row r="334" spans="1:24">
      <c r="A334" s="21">
        <v>46325</v>
      </c>
      <c r="B334" s="65" t="s">
        <v>1557</v>
      </c>
      <c r="C334" s="65"/>
      <c r="F334" s="15"/>
      <c r="W334" s="16"/>
      <c r="X334" s="14"/>
    </row>
    <row r="335" spans="1:24">
      <c r="A335" s="21">
        <v>46326</v>
      </c>
      <c r="B335" s="65" t="s">
        <v>1558</v>
      </c>
      <c r="C335" s="65"/>
      <c r="F335" s="15"/>
      <c r="W335" s="16"/>
      <c r="X335" s="14"/>
    </row>
    <row r="336" spans="1:24">
      <c r="A336" s="21">
        <v>46327</v>
      </c>
      <c r="B336" s="65" t="s">
        <v>1559</v>
      </c>
      <c r="C336" s="65"/>
      <c r="F336" s="15"/>
      <c r="W336" s="16"/>
      <c r="X336" s="14"/>
    </row>
    <row r="337" spans="1:24">
      <c r="A337" s="21">
        <v>46328</v>
      </c>
      <c r="B337" s="65" t="s">
        <v>1560</v>
      </c>
      <c r="C337" s="65"/>
      <c r="F337" s="15"/>
      <c r="W337" s="16"/>
      <c r="X337" s="14"/>
    </row>
    <row r="338" spans="1:24">
      <c r="A338" s="21">
        <v>46329</v>
      </c>
      <c r="B338" s="65" t="s">
        <v>1226</v>
      </c>
      <c r="C338" s="65"/>
      <c r="F338" s="15"/>
      <c r="W338" s="16"/>
      <c r="X338" s="14"/>
    </row>
    <row r="339" spans="1:24">
      <c r="A339" s="21">
        <v>46330</v>
      </c>
      <c r="B339" s="65" t="s">
        <v>1561</v>
      </c>
      <c r="C339" s="65"/>
      <c r="F339" s="15"/>
      <c r="W339" s="16"/>
      <c r="X339" s="14"/>
    </row>
    <row r="340" spans="1:24">
      <c r="A340" s="21">
        <v>46331</v>
      </c>
      <c r="B340" s="65" t="s">
        <v>1562</v>
      </c>
      <c r="C340" s="65"/>
      <c r="F340" s="15"/>
      <c r="W340" s="16"/>
      <c r="X340" s="14"/>
    </row>
    <row r="341" spans="1:24">
      <c r="A341" s="21">
        <v>46332</v>
      </c>
      <c r="B341" s="65" t="s">
        <v>1563</v>
      </c>
      <c r="C341" s="65"/>
      <c r="F341" s="15"/>
      <c r="W341" s="16"/>
      <c r="X341" s="14"/>
    </row>
    <row r="342" spans="1:24">
      <c r="A342" s="21">
        <v>46333</v>
      </c>
      <c r="B342" s="65" t="s">
        <v>1564</v>
      </c>
      <c r="C342" s="65"/>
      <c r="F342" s="15"/>
      <c r="W342" s="16"/>
      <c r="X342" s="14"/>
    </row>
    <row r="343" spans="1:24">
      <c r="A343" s="21">
        <v>46334</v>
      </c>
      <c r="B343" s="65" t="s">
        <v>1565</v>
      </c>
      <c r="C343" s="65"/>
      <c r="F343" s="15"/>
      <c r="W343" s="16"/>
      <c r="X343" s="14"/>
    </row>
    <row r="344" spans="1:24">
      <c r="A344" s="21">
        <v>46335</v>
      </c>
      <c r="B344" s="65" t="s">
        <v>1566</v>
      </c>
      <c r="C344" s="65"/>
      <c r="F344" s="15"/>
      <c r="W344" s="16"/>
      <c r="X344" s="14"/>
    </row>
    <row r="345" spans="1:24">
      <c r="A345" s="21">
        <v>46336</v>
      </c>
      <c r="B345" s="65" t="s">
        <v>1567</v>
      </c>
      <c r="C345" s="65"/>
      <c r="F345" s="15"/>
      <c r="W345" s="16"/>
      <c r="X345" s="14"/>
    </row>
    <row r="346" spans="1:24">
      <c r="A346" s="21">
        <v>46337</v>
      </c>
      <c r="B346" s="65" t="s">
        <v>1568</v>
      </c>
      <c r="C346" s="65"/>
      <c r="F346" s="15"/>
      <c r="W346" s="16"/>
      <c r="X346" s="14"/>
    </row>
    <row r="347" spans="1:24">
      <c r="A347" s="21">
        <v>46338</v>
      </c>
      <c r="B347" s="65" t="s">
        <v>1569</v>
      </c>
      <c r="C347" s="65"/>
      <c r="F347" s="15"/>
      <c r="W347" s="16"/>
      <c r="X347" s="14"/>
    </row>
    <row r="348" spans="1:24">
      <c r="A348" s="21">
        <v>46339</v>
      </c>
      <c r="B348" s="65" t="s">
        <v>1570</v>
      </c>
      <c r="C348" s="65"/>
      <c r="F348" s="15"/>
      <c r="W348" s="16"/>
      <c r="X348" s="14"/>
    </row>
    <row r="349" spans="1:24">
      <c r="A349" s="21">
        <v>46340</v>
      </c>
      <c r="B349" s="65" t="s">
        <v>1571</v>
      </c>
      <c r="C349" s="65"/>
      <c r="F349" s="15"/>
      <c r="W349" s="16"/>
      <c r="X349" s="14"/>
    </row>
    <row r="350" spans="1:24">
      <c r="A350" s="21">
        <v>46341</v>
      </c>
      <c r="B350" s="65" t="s">
        <v>1572</v>
      </c>
      <c r="C350" s="65"/>
      <c r="F350" s="15"/>
      <c r="W350" s="16"/>
      <c r="X350" s="14"/>
    </row>
    <row r="351" spans="1:24">
      <c r="A351" s="21">
        <v>46342</v>
      </c>
      <c r="B351" s="65" t="s">
        <v>1227</v>
      </c>
      <c r="C351" s="65"/>
      <c r="F351" s="15"/>
      <c r="W351" s="16"/>
      <c r="X351" s="14"/>
    </row>
    <row r="352" spans="1:24">
      <c r="A352" s="21">
        <v>46343</v>
      </c>
      <c r="B352" s="65" t="s">
        <v>1573</v>
      </c>
      <c r="C352" s="65"/>
      <c r="F352" s="15"/>
      <c r="W352" s="16"/>
      <c r="X352" s="14"/>
    </row>
    <row r="353" spans="1:24">
      <c r="A353" s="21">
        <v>46344</v>
      </c>
      <c r="B353" s="65" t="s">
        <v>1574</v>
      </c>
      <c r="C353" s="65"/>
      <c r="F353" s="15"/>
      <c r="W353" s="16"/>
      <c r="X353" s="14"/>
    </row>
    <row r="354" spans="1:24">
      <c r="A354" s="21">
        <v>46345</v>
      </c>
      <c r="B354" s="65" t="s">
        <v>1575</v>
      </c>
      <c r="C354" s="65"/>
      <c r="F354" s="15"/>
      <c r="W354" s="16"/>
      <c r="X354" s="14"/>
    </row>
    <row r="355" spans="1:24">
      <c r="A355" s="21">
        <v>46346</v>
      </c>
      <c r="B355" s="65" t="s">
        <v>1576</v>
      </c>
      <c r="C355" s="65"/>
      <c r="F355" s="15"/>
      <c r="W355" s="16"/>
      <c r="X355" s="14"/>
    </row>
    <row r="356" spans="1:24">
      <c r="A356" s="21">
        <v>46347</v>
      </c>
      <c r="B356" s="65" t="s">
        <v>1577</v>
      </c>
      <c r="C356" s="65"/>
      <c r="F356" s="15"/>
      <c r="W356" s="16"/>
      <c r="X356" s="14"/>
    </row>
    <row r="357" spans="1:24">
      <c r="A357" s="21">
        <v>46348</v>
      </c>
      <c r="B357" s="65" t="s">
        <v>1578</v>
      </c>
      <c r="C357" s="65"/>
      <c r="F357" s="15"/>
      <c r="W357" s="16"/>
      <c r="X357" s="14"/>
    </row>
    <row r="358" spans="1:24">
      <c r="A358" s="21">
        <v>46349</v>
      </c>
      <c r="B358" s="65" t="s">
        <v>1579</v>
      </c>
      <c r="C358" s="65"/>
      <c r="F358" s="15"/>
      <c r="W358" s="16"/>
      <c r="X358" s="14"/>
    </row>
    <row r="359" spans="1:24">
      <c r="A359" s="21">
        <v>46350</v>
      </c>
      <c r="B359" s="65" t="s">
        <v>1580</v>
      </c>
      <c r="C359" s="65"/>
      <c r="F359" s="15"/>
      <c r="W359" s="16"/>
      <c r="X359" s="14"/>
    </row>
    <row r="360" spans="1:24">
      <c r="A360" s="21">
        <v>46351</v>
      </c>
      <c r="B360" s="65" t="s">
        <v>1581</v>
      </c>
      <c r="C360" s="65"/>
      <c r="F360" s="15"/>
      <c r="W360" s="16"/>
      <c r="X360" s="14"/>
    </row>
    <row r="361" spans="1:24">
      <c r="A361" s="21">
        <v>46352</v>
      </c>
      <c r="B361" s="65" t="s">
        <v>1582</v>
      </c>
      <c r="C361" s="65"/>
      <c r="F361" s="15"/>
      <c r="W361" s="16"/>
      <c r="X361" s="14"/>
    </row>
    <row r="362" spans="1:24">
      <c r="A362" s="21">
        <v>46353</v>
      </c>
      <c r="B362" s="65" t="s">
        <v>1583</v>
      </c>
      <c r="C362" s="65"/>
      <c r="F362" s="15"/>
      <c r="W362" s="16"/>
      <c r="X362" s="14"/>
    </row>
    <row r="363" spans="1:24">
      <c r="A363" s="21">
        <v>46354</v>
      </c>
      <c r="B363" s="65" t="s">
        <v>1584</v>
      </c>
      <c r="C363" s="65"/>
      <c r="F363" s="15"/>
      <c r="W363" s="16"/>
      <c r="X363" s="14"/>
    </row>
    <row r="364" spans="1:24">
      <c r="A364" s="21">
        <v>46355</v>
      </c>
      <c r="B364" s="65" t="s">
        <v>1228</v>
      </c>
      <c r="C364" s="65"/>
      <c r="F364" s="15"/>
      <c r="W364" s="16"/>
      <c r="X364" s="14"/>
    </row>
    <row r="365" spans="1:24">
      <c r="A365" s="21">
        <v>46356</v>
      </c>
      <c r="B365" s="65" t="s">
        <v>1585</v>
      </c>
      <c r="C365" s="65"/>
      <c r="F365" s="15"/>
      <c r="W365" s="16"/>
      <c r="X365" s="14"/>
    </row>
    <row r="366" spans="1:24">
      <c r="A366" s="21">
        <v>46357</v>
      </c>
      <c r="B366" s="65" t="s">
        <v>1586</v>
      </c>
      <c r="C366" s="65"/>
      <c r="F366" s="15"/>
      <c r="W366" s="16"/>
      <c r="X366" s="14"/>
    </row>
    <row r="367" spans="1:24">
      <c r="A367" s="21">
        <v>46358</v>
      </c>
      <c r="B367" s="65" t="s">
        <v>1587</v>
      </c>
      <c r="C367" s="65"/>
      <c r="F367" s="15"/>
      <c r="W367" s="16"/>
      <c r="X367" s="14"/>
    </row>
    <row r="368" spans="1:24">
      <c r="A368" s="21">
        <v>46359</v>
      </c>
      <c r="B368" s="65" t="s">
        <v>1588</v>
      </c>
      <c r="C368" s="65"/>
      <c r="F368" s="15"/>
      <c r="W368" s="16"/>
      <c r="X368" s="14"/>
    </row>
    <row r="369" spans="1:24">
      <c r="A369" s="21">
        <v>46360</v>
      </c>
      <c r="B369" s="65" t="s">
        <v>1589</v>
      </c>
      <c r="C369" s="65"/>
      <c r="F369" s="15"/>
      <c r="W369" s="16"/>
      <c r="X369" s="14"/>
    </row>
    <row r="370" spans="1:24">
      <c r="A370" s="21">
        <v>46361</v>
      </c>
      <c r="B370" s="65" t="s">
        <v>1590</v>
      </c>
      <c r="C370" s="65"/>
      <c r="F370" s="15"/>
      <c r="W370" s="16"/>
      <c r="X370" s="14"/>
    </row>
    <row r="371" spans="1:24">
      <c r="A371" s="21">
        <v>46362</v>
      </c>
      <c r="B371" s="65" t="s">
        <v>1591</v>
      </c>
      <c r="C371" s="65"/>
      <c r="F371" s="15"/>
      <c r="W371" s="16"/>
      <c r="X371" s="14"/>
    </row>
    <row r="372" spans="1:24">
      <c r="A372" s="21">
        <v>46363</v>
      </c>
      <c r="B372" s="65" t="s">
        <v>1592</v>
      </c>
      <c r="C372" s="65"/>
      <c r="F372" s="15"/>
      <c r="W372" s="16"/>
      <c r="X372" s="14"/>
    </row>
    <row r="373" spans="1:24">
      <c r="A373" s="21">
        <v>46364</v>
      </c>
      <c r="B373" s="65" t="s">
        <v>1593</v>
      </c>
      <c r="C373" s="65"/>
      <c r="F373" s="15"/>
      <c r="W373" s="16"/>
      <c r="X373" s="14"/>
    </row>
    <row r="374" spans="1:24">
      <c r="A374" s="21">
        <v>46365</v>
      </c>
      <c r="B374" s="65" t="s">
        <v>1594</v>
      </c>
      <c r="C374" s="65"/>
      <c r="F374" s="15"/>
      <c r="W374" s="16"/>
      <c r="X374" s="14"/>
    </row>
    <row r="375" spans="1:24">
      <c r="A375" s="21">
        <v>46366</v>
      </c>
      <c r="B375" s="65" t="s">
        <v>1595</v>
      </c>
      <c r="C375" s="65"/>
      <c r="F375" s="15"/>
      <c r="W375" s="16"/>
      <c r="X375" s="14"/>
    </row>
    <row r="376" spans="1:24">
      <c r="A376" s="21">
        <v>46367</v>
      </c>
      <c r="B376" s="65" t="s">
        <v>1596</v>
      </c>
      <c r="C376" s="65"/>
      <c r="F376" s="15"/>
      <c r="W376" s="16"/>
      <c r="X376" s="14"/>
    </row>
    <row r="377" spans="1:24">
      <c r="A377" s="21">
        <v>46368</v>
      </c>
      <c r="B377" s="65" t="s">
        <v>1229</v>
      </c>
      <c r="C377" s="65"/>
      <c r="F377" s="15"/>
      <c r="W377" s="16"/>
      <c r="X377" s="14"/>
    </row>
    <row r="378" spans="1:24">
      <c r="A378" s="21">
        <v>46369</v>
      </c>
      <c r="B378" s="65" t="s">
        <v>1597</v>
      </c>
      <c r="C378" s="65"/>
      <c r="F378" s="15"/>
      <c r="W378" s="16"/>
      <c r="X378" s="14"/>
    </row>
    <row r="379" spans="1:24">
      <c r="A379" s="21">
        <v>46370</v>
      </c>
      <c r="B379" s="65" t="s">
        <v>1598</v>
      </c>
      <c r="C379" s="65"/>
      <c r="F379" s="15"/>
      <c r="W379" s="16"/>
      <c r="X379" s="14"/>
    </row>
    <row r="380" spans="1:24">
      <c r="A380" s="21">
        <v>46371</v>
      </c>
      <c r="B380" s="65" t="s">
        <v>1599</v>
      </c>
      <c r="C380" s="65"/>
      <c r="F380" s="15"/>
      <c r="W380" s="16"/>
      <c r="X380" s="14"/>
    </row>
    <row r="381" spans="1:24">
      <c r="A381" s="21">
        <v>46372</v>
      </c>
      <c r="B381" s="65" t="s">
        <v>1600</v>
      </c>
      <c r="C381" s="65"/>
      <c r="F381" s="15"/>
      <c r="W381" s="16"/>
      <c r="X381" s="14"/>
    </row>
    <row r="382" spans="1:24">
      <c r="A382" s="21">
        <v>46373</v>
      </c>
      <c r="B382" s="65" t="s">
        <v>1601</v>
      </c>
      <c r="C382" s="65"/>
      <c r="F382" s="15"/>
      <c r="W382" s="16"/>
      <c r="X382" s="14"/>
    </row>
    <row r="383" spans="1:24">
      <c r="A383" s="21">
        <v>46374</v>
      </c>
      <c r="B383" s="65" t="s">
        <v>1602</v>
      </c>
      <c r="C383" s="65"/>
      <c r="F383" s="15"/>
      <c r="W383" s="16"/>
      <c r="X383" s="14"/>
    </row>
    <row r="384" spans="1:24">
      <c r="A384" s="21">
        <v>46375</v>
      </c>
      <c r="B384" s="65" t="s">
        <v>1603</v>
      </c>
      <c r="C384" s="65"/>
      <c r="F384" s="15"/>
      <c r="W384" s="16"/>
      <c r="X384" s="14"/>
    </row>
    <row r="385" spans="1:24">
      <c r="A385" s="21">
        <v>46376</v>
      </c>
      <c r="B385" s="65" t="s">
        <v>1604</v>
      </c>
      <c r="C385" s="65"/>
      <c r="F385" s="15"/>
      <c r="W385" s="16"/>
      <c r="X385" s="14"/>
    </row>
    <row r="386" spans="1:24">
      <c r="A386" s="21">
        <v>46377</v>
      </c>
      <c r="B386" s="65" t="s">
        <v>1605</v>
      </c>
      <c r="C386" s="65"/>
      <c r="F386" s="15"/>
      <c r="W386" s="16"/>
      <c r="X386" s="14"/>
    </row>
    <row r="387" spans="1:24">
      <c r="A387" s="21">
        <v>46378</v>
      </c>
      <c r="B387" s="65" t="s">
        <v>1606</v>
      </c>
      <c r="C387" s="65"/>
      <c r="W387" s="16"/>
      <c r="X387" s="14"/>
    </row>
    <row r="388" spans="1:24">
      <c r="A388" s="21">
        <v>46379</v>
      </c>
      <c r="B388" s="65" t="s">
        <v>1607</v>
      </c>
      <c r="C388" s="65"/>
      <c r="W388" s="16"/>
      <c r="X388" s="14"/>
    </row>
    <row r="389" spans="1:24">
      <c r="A389" s="21">
        <v>46380</v>
      </c>
      <c r="B389" s="65" t="s">
        <v>1608</v>
      </c>
      <c r="C389" s="65"/>
      <c r="W389" s="16"/>
      <c r="X389" s="14"/>
    </row>
    <row r="390" spans="1:24">
      <c r="A390" s="21">
        <v>46381</v>
      </c>
      <c r="B390" s="65" t="s">
        <v>1230</v>
      </c>
      <c r="C390" s="65"/>
      <c r="W390" s="16"/>
      <c r="X390" s="14"/>
    </row>
    <row r="391" spans="1:24">
      <c r="A391" s="21">
        <v>46382</v>
      </c>
      <c r="B391" s="65" t="s">
        <v>1609</v>
      </c>
      <c r="C391" s="65"/>
      <c r="W391" s="16"/>
      <c r="X391" s="14"/>
    </row>
    <row r="392" spans="1:24">
      <c r="A392" s="21">
        <v>46383</v>
      </c>
      <c r="B392" s="65" t="s">
        <v>1610</v>
      </c>
      <c r="C392" s="65"/>
      <c r="W392" s="16"/>
      <c r="X392" s="14"/>
    </row>
    <row r="393" spans="1:24">
      <c r="A393" s="21">
        <v>46384</v>
      </c>
      <c r="B393" s="65" t="s">
        <v>1611</v>
      </c>
      <c r="C393" s="65"/>
      <c r="W393" s="16"/>
      <c r="X393" s="14"/>
    </row>
    <row r="394" spans="1:24">
      <c r="A394" s="21">
        <v>46385</v>
      </c>
      <c r="B394" s="65" t="s">
        <v>1612</v>
      </c>
      <c r="C394" s="65"/>
      <c r="W394" s="16"/>
      <c r="X394" s="14"/>
    </row>
    <row r="395" spans="1:24">
      <c r="A395" s="21">
        <v>46386</v>
      </c>
      <c r="B395" s="65" t="s">
        <v>1613</v>
      </c>
      <c r="C395" s="65"/>
      <c r="W395" s="16"/>
      <c r="X395" s="14"/>
    </row>
    <row r="396" spans="1:24">
      <c r="A396" s="21">
        <v>46387</v>
      </c>
      <c r="B396" s="65" t="s">
        <v>1614</v>
      </c>
      <c r="C396" s="65"/>
      <c r="W396" s="16"/>
      <c r="X396" s="14"/>
    </row>
    <row r="397" spans="1:24">
      <c r="A397" s="21">
        <v>46388</v>
      </c>
      <c r="B397" s="65" t="s">
        <v>1615</v>
      </c>
      <c r="C397" s="65"/>
      <c r="W397" s="16"/>
      <c r="X397" s="14"/>
    </row>
    <row r="398" spans="1:24">
      <c r="A398" s="21">
        <v>46389</v>
      </c>
      <c r="B398" s="65" t="s">
        <v>1616</v>
      </c>
      <c r="C398" s="65"/>
      <c r="W398" s="16"/>
      <c r="X398" s="14"/>
    </row>
    <row r="399" spans="1:24">
      <c r="A399" s="21">
        <v>46390</v>
      </c>
      <c r="B399" s="65" t="s">
        <v>1617</v>
      </c>
      <c r="C399" s="65"/>
      <c r="W399" s="16"/>
      <c r="X399" s="14"/>
    </row>
    <row r="400" spans="1:24">
      <c r="A400" s="21">
        <v>46391</v>
      </c>
      <c r="B400" s="65" t="s">
        <v>1618</v>
      </c>
      <c r="C400" s="65"/>
      <c r="W400" s="16"/>
      <c r="X400" s="14"/>
    </row>
    <row r="401" spans="1:24">
      <c r="A401" s="21">
        <v>46392</v>
      </c>
      <c r="B401" s="65" t="s">
        <v>1619</v>
      </c>
      <c r="C401" s="65"/>
      <c r="W401" s="16"/>
      <c r="X401" s="14"/>
    </row>
    <row r="402" spans="1:24">
      <c r="A402" s="21">
        <v>46393</v>
      </c>
      <c r="B402" s="65" t="s">
        <v>1620</v>
      </c>
      <c r="C402" s="65"/>
      <c r="W402" s="16"/>
      <c r="X402" s="14"/>
    </row>
    <row r="403" spans="1:24">
      <c r="A403" s="21">
        <v>46394</v>
      </c>
      <c r="B403" s="65" t="s">
        <v>1231</v>
      </c>
      <c r="W403" s="16"/>
      <c r="X403" s="14"/>
    </row>
    <row r="404" spans="1:24">
      <c r="A404" s="21">
        <v>46395</v>
      </c>
      <c r="B404" s="65" t="s">
        <v>1621</v>
      </c>
      <c r="W404" s="16"/>
      <c r="X404" s="14"/>
    </row>
    <row r="405" spans="1:24">
      <c r="A405" s="21">
        <v>46396</v>
      </c>
      <c r="B405" s="65" t="s">
        <v>1622</v>
      </c>
      <c r="W405" s="16"/>
      <c r="X405" s="14"/>
    </row>
    <row r="406" spans="1:24">
      <c r="A406" s="21">
        <v>46397</v>
      </c>
      <c r="B406" s="65" t="s">
        <v>1623</v>
      </c>
      <c r="W406" s="16"/>
      <c r="X406" s="14"/>
    </row>
    <row r="407" spans="1:24">
      <c r="A407" s="21">
        <v>46398</v>
      </c>
      <c r="B407" s="65" t="s">
        <v>1624</v>
      </c>
      <c r="W407" s="16"/>
      <c r="X407" s="14"/>
    </row>
    <row r="408" spans="1:24">
      <c r="A408" s="21">
        <v>46399</v>
      </c>
      <c r="B408" s="65" t="s">
        <v>1625</v>
      </c>
      <c r="W408" s="16"/>
      <c r="X408" s="14"/>
    </row>
    <row r="409" spans="1:24">
      <c r="A409" s="21">
        <v>46400</v>
      </c>
      <c r="B409" s="65" t="s">
        <v>1626</v>
      </c>
      <c r="W409" s="16"/>
      <c r="X409" s="14"/>
    </row>
    <row r="410" spans="1:24">
      <c r="A410" s="21">
        <v>46401</v>
      </c>
      <c r="B410" s="65" t="s">
        <v>1627</v>
      </c>
      <c r="W410" s="16"/>
      <c r="X410" s="14"/>
    </row>
    <row r="411" spans="1:24">
      <c r="A411" s="21">
        <v>46402</v>
      </c>
      <c r="B411" s="65" t="s">
        <v>1628</v>
      </c>
      <c r="W411" s="16"/>
      <c r="X411" s="14"/>
    </row>
    <row r="412" spans="1:24">
      <c r="A412" s="21">
        <v>46403</v>
      </c>
      <c r="B412" s="65" t="s">
        <v>1629</v>
      </c>
      <c r="W412" s="16"/>
      <c r="X412" s="14"/>
    </row>
    <row r="413" spans="1:24">
      <c r="A413" s="21">
        <v>46404</v>
      </c>
      <c r="B413" s="65" t="s">
        <v>1630</v>
      </c>
      <c r="W413" s="16"/>
      <c r="X413" s="14"/>
    </row>
    <row r="414" spans="1:24">
      <c r="A414" s="21">
        <v>46405</v>
      </c>
      <c r="B414" s="65" t="s">
        <v>1631</v>
      </c>
      <c r="W414" s="16"/>
      <c r="X414" s="14"/>
    </row>
    <row r="415" spans="1:24">
      <c r="A415" s="21">
        <v>46406</v>
      </c>
      <c r="B415" s="65" t="s">
        <v>1632</v>
      </c>
      <c r="W415" s="16"/>
      <c r="X415" s="14"/>
    </row>
    <row r="416" spans="1:24">
      <c r="A416" s="21">
        <v>46407</v>
      </c>
      <c r="B416" s="65" t="s">
        <v>1232</v>
      </c>
      <c r="W416" s="16"/>
      <c r="X416" s="14"/>
    </row>
    <row r="417" spans="1:24">
      <c r="A417" s="21">
        <v>46408</v>
      </c>
      <c r="B417" s="65" t="s">
        <v>1633</v>
      </c>
      <c r="W417" s="16"/>
      <c r="X417" s="14"/>
    </row>
    <row r="418" spans="1:24">
      <c r="A418" s="21">
        <v>46409</v>
      </c>
      <c r="B418" s="65" t="s">
        <v>1634</v>
      </c>
      <c r="W418" s="16"/>
      <c r="X418" s="14"/>
    </row>
    <row r="419" spans="1:24">
      <c r="A419" s="21">
        <v>46410</v>
      </c>
      <c r="B419" s="65" t="s">
        <v>1635</v>
      </c>
      <c r="W419" s="16"/>
      <c r="X419" s="14"/>
    </row>
    <row r="420" spans="1:24">
      <c r="A420" s="21">
        <v>46411</v>
      </c>
      <c r="B420" s="65" t="s">
        <v>1636</v>
      </c>
      <c r="W420" s="16"/>
      <c r="X420" s="14"/>
    </row>
    <row r="421" spans="1:24">
      <c r="A421" s="21">
        <v>46412</v>
      </c>
      <c r="B421" s="65" t="s">
        <v>1637</v>
      </c>
      <c r="W421" s="16"/>
      <c r="X421" s="14"/>
    </row>
    <row r="422" spans="1:24">
      <c r="A422" s="21">
        <v>46413</v>
      </c>
      <c r="B422" s="65" t="s">
        <v>1638</v>
      </c>
      <c r="W422" s="16"/>
      <c r="X422" s="14"/>
    </row>
    <row r="423" spans="1:24">
      <c r="A423" s="21">
        <v>46414</v>
      </c>
      <c r="B423" s="65" t="s">
        <v>1639</v>
      </c>
      <c r="W423" s="16"/>
      <c r="X423" s="14"/>
    </row>
    <row r="424" spans="1:24">
      <c r="A424" s="21">
        <v>46415</v>
      </c>
      <c r="B424" s="65" t="s">
        <v>1640</v>
      </c>
      <c r="W424" s="16"/>
      <c r="X424" s="14"/>
    </row>
    <row r="425" spans="1:24">
      <c r="A425" s="21">
        <v>46416</v>
      </c>
      <c r="B425" s="65" t="s">
        <v>1641</v>
      </c>
      <c r="W425" s="16"/>
      <c r="X425" s="14"/>
    </row>
    <row r="426" spans="1:24">
      <c r="A426" s="21">
        <v>46417</v>
      </c>
      <c r="B426" s="65" t="s">
        <v>1642</v>
      </c>
      <c r="W426" s="16"/>
      <c r="X426" s="14"/>
    </row>
    <row r="427" spans="1:24">
      <c r="A427" s="21">
        <v>46418</v>
      </c>
      <c r="B427" s="65" t="s">
        <v>1643</v>
      </c>
      <c r="W427" s="16"/>
      <c r="X427" s="14"/>
    </row>
    <row r="428" spans="1:24">
      <c r="A428" s="21">
        <v>46419</v>
      </c>
      <c r="B428" s="65" t="s">
        <v>1644</v>
      </c>
      <c r="W428" s="16"/>
      <c r="X428" s="14"/>
    </row>
    <row r="429" spans="1:24">
      <c r="A429" s="21">
        <v>46420</v>
      </c>
      <c r="B429" s="65" t="s">
        <v>1233</v>
      </c>
      <c r="W429" s="16"/>
      <c r="X429" s="14"/>
    </row>
    <row r="430" spans="1:24">
      <c r="A430" s="21">
        <v>46421</v>
      </c>
      <c r="B430" s="65" t="s">
        <v>1645</v>
      </c>
      <c r="W430" s="16"/>
      <c r="X430" s="14"/>
    </row>
    <row r="431" spans="1:24">
      <c r="A431" s="21">
        <v>46422</v>
      </c>
      <c r="B431" s="65" t="s">
        <v>1646</v>
      </c>
      <c r="W431" s="16"/>
      <c r="X431" s="14"/>
    </row>
    <row r="432" spans="1:24">
      <c r="A432" s="21">
        <v>46423</v>
      </c>
      <c r="B432" s="65" t="s">
        <v>1647</v>
      </c>
      <c r="W432" s="16"/>
      <c r="X432" s="14"/>
    </row>
    <row r="433" spans="1:24">
      <c r="A433" s="21">
        <v>46424</v>
      </c>
      <c r="B433" s="65" t="s">
        <v>1648</v>
      </c>
      <c r="W433" s="16"/>
      <c r="X433" s="14"/>
    </row>
    <row r="434" spans="1:24">
      <c r="A434" s="21">
        <v>46425</v>
      </c>
      <c r="B434" s="65" t="s">
        <v>1649</v>
      </c>
      <c r="W434" s="16"/>
      <c r="X434" s="14"/>
    </row>
    <row r="435" spans="1:24">
      <c r="A435" s="21">
        <v>46426</v>
      </c>
      <c r="B435" s="65" t="s">
        <v>1650</v>
      </c>
      <c r="W435" s="16"/>
      <c r="X435" s="14"/>
    </row>
    <row r="436" spans="1:24">
      <c r="A436" s="21">
        <v>46427</v>
      </c>
      <c r="B436" s="65" t="s">
        <v>1651</v>
      </c>
      <c r="W436" s="16"/>
      <c r="X436" s="14"/>
    </row>
    <row r="437" spans="1:24">
      <c r="A437" s="21">
        <v>46428</v>
      </c>
      <c r="B437" s="65" t="s">
        <v>1652</v>
      </c>
      <c r="W437" s="16"/>
      <c r="X437" s="14"/>
    </row>
    <row r="438" spans="1:24">
      <c r="A438" s="21">
        <v>46429</v>
      </c>
      <c r="B438" s="65" t="s">
        <v>1653</v>
      </c>
      <c r="W438" s="16"/>
      <c r="X438" s="14"/>
    </row>
    <row r="439" spans="1:24">
      <c r="A439" s="21">
        <v>46430</v>
      </c>
      <c r="B439" s="65" t="s">
        <v>1654</v>
      </c>
      <c r="W439" s="16"/>
      <c r="X439" s="14"/>
    </row>
    <row r="440" spans="1:24">
      <c r="A440" s="21">
        <v>46431</v>
      </c>
      <c r="B440" s="65" t="s">
        <v>1655</v>
      </c>
      <c r="W440" s="16"/>
      <c r="X440" s="14"/>
    </row>
    <row r="441" spans="1:24">
      <c r="A441" s="21">
        <v>46432</v>
      </c>
      <c r="B441" s="65" t="s">
        <v>1656</v>
      </c>
      <c r="W441" s="16"/>
    </row>
    <row r="442" spans="1:24">
      <c r="A442" s="21">
        <v>46433</v>
      </c>
      <c r="B442" s="65" t="s">
        <v>1234</v>
      </c>
      <c r="W442" s="16"/>
    </row>
    <row r="443" spans="1:24">
      <c r="A443" s="21">
        <v>46434</v>
      </c>
      <c r="B443" s="65" t="s">
        <v>1657</v>
      </c>
      <c r="W443" s="16"/>
    </row>
    <row r="444" spans="1:24">
      <c r="A444" s="21">
        <v>46435</v>
      </c>
      <c r="B444" s="65" t="s">
        <v>1658</v>
      </c>
      <c r="W444" s="16"/>
    </row>
    <row r="445" spans="1:24">
      <c r="A445" s="21">
        <v>46436</v>
      </c>
      <c r="B445" s="65" t="s">
        <v>1659</v>
      </c>
      <c r="W445" s="16"/>
    </row>
    <row r="446" spans="1:24">
      <c r="A446" s="21">
        <v>46437</v>
      </c>
      <c r="B446" s="65" t="s">
        <v>1660</v>
      </c>
      <c r="W446" s="16"/>
    </row>
    <row r="447" spans="1:24">
      <c r="A447" s="21">
        <v>46438</v>
      </c>
      <c r="B447" s="65" t="s">
        <v>1661</v>
      </c>
      <c r="W447" s="16"/>
    </row>
    <row r="448" spans="1:24">
      <c r="A448" s="21">
        <v>46439</v>
      </c>
      <c r="B448" s="65" t="s">
        <v>1662</v>
      </c>
      <c r="W448" s="16"/>
    </row>
    <row r="449" spans="1:23">
      <c r="A449" s="21">
        <v>46440</v>
      </c>
      <c r="B449" s="65" t="s">
        <v>1663</v>
      </c>
      <c r="W449" s="16"/>
    </row>
    <row r="450" spans="1:23">
      <c r="A450" s="21">
        <v>46441</v>
      </c>
      <c r="B450" s="65" t="s">
        <v>1664</v>
      </c>
      <c r="W450" s="16"/>
    </row>
    <row r="451" spans="1:23">
      <c r="A451" s="21">
        <v>46442</v>
      </c>
      <c r="B451" s="65" t="s">
        <v>1665</v>
      </c>
      <c r="W451" s="16"/>
    </row>
    <row r="452" spans="1:23">
      <c r="A452" s="21">
        <v>46443</v>
      </c>
      <c r="B452" s="65" t="s">
        <v>1666</v>
      </c>
      <c r="W452" s="14"/>
    </row>
    <row r="453" spans="1:23">
      <c r="A453" s="21">
        <v>46444</v>
      </c>
      <c r="B453" s="65" t="s">
        <v>1667</v>
      </c>
      <c r="W453" s="14"/>
    </row>
    <row r="454" spans="1:23">
      <c r="A454" s="21">
        <v>46445</v>
      </c>
      <c r="B454" s="65" t="s">
        <v>1668</v>
      </c>
      <c r="W454" s="14"/>
    </row>
    <row r="455" spans="1:23">
      <c r="A455" s="21">
        <v>46446</v>
      </c>
      <c r="B455" s="65" t="s">
        <v>1235</v>
      </c>
      <c r="W455" s="14"/>
    </row>
    <row r="456" spans="1:23">
      <c r="A456" s="21">
        <v>46447</v>
      </c>
      <c r="B456" s="65" t="s">
        <v>1669</v>
      </c>
      <c r="W456" s="14"/>
    </row>
    <row r="457" spans="1:23">
      <c r="A457" s="21">
        <v>46448</v>
      </c>
      <c r="B457" s="65" t="s">
        <v>1670</v>
      </c>
      <c r="W457" s="14"/>
    </row>
    <row r="458" spans="1:23">
      <c r="A458" s="21">
        <v>46449</v>
      </c>
      <c r="B458" s="65" t="s">
        <v>1671</v>
      </c>
      <c r="W458" s="14"/>
    </row>
    <row r="459" spans="1:23">
      <c r="A459" s="21">
        <v>46450</v>
      </c>
      <c r="B459" s="65" t="s">
        <v>1672</v>
      </c>
      <c r="W459" s="14"/>
    </row>
    <row r="460" spans="1:23">
      <c r="A460" s="21">
        <v>46451</v>
      </c>
      <c r="B460" s="65" t="s">
        <v>1673</v>
      </c>
      <c r="W460" s="14"/>
    </row>
    <row r="461" spans="1:23">
      <c r="A461" s="21">
        <v>46452</v>
      </c>
      <c r="B461" s="65" t="s">
        <v>1674</v>
      </c>
      <c r="W461" s="14"/>
    </row>
    <row r="462" spans="1:23">
      <c r="A462" s="21">
        <v>46453</v>
      </c>
      <c r="B462" s="65" t="s">
        <v>1675</v>
      </c>
      <c r="W462" s="14"/>
    </row>
    <row r="463" spans="1:23">
      <c r="A463" s="21">
        <v>46454</v>
      </c>
      <c r="B463" s="65" t="s">
        <v>1676</v>
      </c>
      <c r="W463" s="14"/>
    </row>
    <row r="464" spans="1:23">
      <c r="A464" s="21">
        <v>46455</v>
      </c>
      <c r="B464" s="65" t="s">
        <v>1677</v>
      </c>
      <c r="W464" s="14"/>
    </row>
    <row r="465" spans="1:23">
      <c r="A465" s="21">
        <v>46456</v>
      </c>
      <c r="B465" s="65" t="s">
        <v>1678</v>
      </c>
      <c r="W465" s="14"/>
    </row>
    <row r="466" spans="1:23">
      <c r="A466" s="21">
        <v>46457</v>
      </c>
      <c r="B466" s="65" t="s">
        <v>1679</v>
      </c>
      <c r="W466" s="14"/>
    </row>
    <row r="467" spans="1:23">
      <c r="A467" s="21">
        <v>46458</v>
      </c>
      <c r="B467" s="65" t="s">
        <v>1680</v>
      </c>
      <c r="W467" s="14"/>
    </row>
    <row r="468" spans="1:23">
      <c r="A468" s="21">
        <v>46459</v>
      </c>
      <c r="B468" s="65" t="s">
        <v>1236</v>
      </c>
      <c r="W468" s="14"/>
    </row>
    <row r="469" spans="1:23">
      <c r="A469" s="21">
        <v>46460</v>
      </c>
      <c r="B469" s="65" t="s">
        <v>1681</v>
      </c>
      <c r="W469" s="14"/>
    </row>
    <row r="470" spans="1:23">
      <c r="A470" s="21">
        <v>46461</v>
      </c>
      <c r="B470" s="65" t="s">
        <v>1682</v>
      </c>
      <c r="W470" s="14"/>
    </row>
    <row r="471" spans="1:23">
      <c r="A471" s="21">
        <v>46462</v>
      </c>
      <c r="B471" s="65" t="s">
        <v>1683</v>
      </c>
      <c r="W471" s="14"/>
    </row>
    <row r="472" spans="1:23">
      <c r="A472" s="21">
        <v>46463</v>
      </c>
      <c r="B472" s="65" t="s">
        <v>1684</v>
      </c>
      <c r="W472" s="14"/>
    </row>
    <row r="473" spans="1:23">
      <c r="A473" s="21">
        <v>46464</v>
      </c>
      <c r="B473" s="65" t="s">
        <v>1685</v>
      </c>
      <c r="W473" s="14"/>
    </row>
    <row r="474" spans="1:23">
      <c r="A474" s="21">
        <v>46465</v>
      </c>
      <c r="B474" s="65" t="s">
        <v>1686</v>
      </c>
      <c r="W474" s="14"/>
    </row>
    <row r="475" spans="1:23">
      <c r="A475" s="21">
        <v>46466</v>
      </c>
      <c r="B475" s="65" t="s">
        <v>1687</v>
      </c>
      <c r="W475" s="14"/>
    </row>
    <row r="476" spans="1:23">
      <c r="A476" s="21">
        <v>46467</v>
      </c>
      <c r="B476" s="65" t="s">
        <v>1688</v>
      </c>
      <c r="W476" s="14"/>
    </row>
    <row r="477" spans="1:23">
      <c r="A477" s="21">
        <v>46468</v>
      </c>
      <c r="B477" s="65" t="s">
        <v>1689</v>
      </c>
      <c r="W477" s="14"/>
    </row>
    <row r="478" spans="1:23">
      <c r="A478" s="21">
        <v>46469</v>
      </c>
      <c r="B478" s="65" t="s">
        <v>1690</v>
      </c>
      <c r="W478" s="14"/>
    </row>
    <row r="479" spans="1:23">
      <c r="A479" s="21">
        <v>46470</v>
      </c>
      <c r="B479" s="65" t="s">
        <v>1691</v>
      </c>
      <c r="W479" s="14"/>
    </row>
    <row r="480" spans="1:23">
      <c r="A480" s="21">
        <v>46471</v>
      </c>
      <c r="B480" s="65" t="s">
        <v>1692</v>
      </c>
      <c r="W480" s="14"/>
    </row>
    <row r="481" spans="1:23">
      <c r="A481" s="21">
        <v>46472</v>
      </c>
      <c r="B481" s="65" t="s">
        <v>1237</v>
      </c>
      <c r="W481" s="14"/>
    </row>
    <row r="482" spans="1:23">
      <c r="A482" s="21">
        <v>46473</v>
      </c>
      <c r="B482" s="65" t="s">
        <v>1693</v>
      </c>
      <c r="W482" s="14"/>
    </row>
    <row r="483" spans="1:23">
      <c r="A483" s="21">
        <v>46474</v>
      </c>
      <c r="B483" s="65" t="s">
        <v>1694</v>
      </c>
      <c r="W483" s="14"/>
    </row>
    <row r="484" spans="1:23">
      <c r="A484" s="21">
        <v>46475</v>
      </c>
      <c r="B484" s="65" t="s">
        <v>1695</v>
      </c>
      <c r="W484" s="14"/>
    </row>
    <row r="485" spans="1:23">
      <c r="A485" s="21">
        <v>46476</v>
      </c>
      <c r="B485" s="65" t="s">
        <v>1696</v>
      </c>
      <c r="W485" s="14"/>
    </row>
    <row r="486" spans="1:23">
      <c r="A486" s="21">
        <v>46477</v>
      </c>
      <c r="B486" s="65" t="s">
        <v>1697</v>
      </c>
      <c r="W486" s="14"/>
    </row>
    <row r="487" spans="1:23">
      <c r="A487" s="21">
        <v>46478</v>
      </c>
      <c r="B487" s="65" t="s">
        <v>1698</v>
      </c>
      <c r="W487" s="14"/>
    </row>
    <row r="488" spans="1:23">
      <c r="A488" s="21">
        <v>46479</v>
      </c>
      <c r="B488" s="65" t="s">
        <v>1699</v>
      </c>
      <c r="W488" s="14"/>
    </row>
    <row r="489" spans="1:23">
      <c r="A489" s="21">
        <v>46480</v>
      </c>
      <c r="B489" s="65" t="s">
        <v>1700</v>
      </c>
      <c r="W489" s="14"/>
    </row>
    <row r="490" spans="1:23">
      <c r="A490" s="21">
        <v>46481</v>
      </c>
      <c r="B490" s="65" t="s">
        <v>1701</v>
      </c>
      <c r="W490" s="14"/>
    </row>
    <row r="491" spans="1:23">
      <c r="A491" s="21">
        <v>46482</v>
      </c>
      <c r="B491" s="65" t="s">
        <v>1702</v>
      </c>
      <c r="W491" s="14"/>
    </row>
    <row r="492" spans="1:23">
      <c r="A492" s="21">
        <v>46483</v>
      </c>
      <c r="B492" s="65" t="s">
        <v>1703</v>
      </c>
      <c r="W492" s="14"/>
    </row>
    <row r="493" spans="1:23">
      <c r="A493" s="21">
        <v>46484</v>
      </c>
      <c r="B493" s="65" t="s">
        <v>1704</v>
      </c>
      <c r="W493" s="14"/>
    </row>
    <row r="494" spans="1:23">
      <c r="A494" s="21">
        <v>46485</v>
      </c>
      <c r="B494" s="65" t="s">
        <v>1238</v>
      </c>
      <c r="W494" s="14"/>
    </row>
    <row r="495" spans="1:23">
      <c r="A495" s="21">
        <v>46486</v>
      </c>
      <c r="B495" s="65" t="s">
        <v>1705</v>
      </c>
      <c r="W495" s="14"/>
    </row>
    <row r="496" spans="1:23">
      <c r="A496" s="21">
        <v>46487</v>
      </c>
      <c r="B496" s="65" t="s">
        <v>1706</v>
      </c>
      <c r="W496" s="14"/>
    </row>
    <row r="497" spans="1:24">
      <c r="A497" s="21">
        <v>46488</v>
      </c>
      <c r="B497" s="65" t="s">
        <v>1707</v>
      </c>
      <c r="W497" s="14"/>
    </row>
    <row r="498" spans="1:24">
      <c r="A498" s="21">
        <v>46489</v>
      </c>
      <c r="B498" s="65" t="s">
        <v>1708</v>
      </c>
      <c r="W498" s="14"/>
    </row>
    <row r="499" spans="1:24">
      <c r="A499" s="21">
        <v>46490</v>
      </c>
      <c r="B499" s="65" t="s">
        <v>1709</v>
      </c>
      <c r="W499" s="14"/>
    </row>
    <row r="500" spans="1:24">
      <c r="A500" s="21">
        <v>46491</v>
      </c>
      <c r="B500" s="65" t="s">
        <v>1710</v>
      </c>
      <c r="W500" s="14"/>
    </row>
    <row r="501" spans="1:24">
      <c r="A501" s="21">
        <v>46492</v>
      </c>
      <c r="B501" s="65" t="s">
        <v>1711</v>
      </c>
      <c r="W501" s="14"/>
    </row>
    <row r="502" spans="1:24">
      <c r="A502" s="21">
        <v>46493</v>
      </c>
      <c r="B502" s="65" t="s">
        <v>1712</v>
      </c>
      <c r="W502" s="14"/>
    </row>
    <row r="503" spans="1:24">
      <c r="A503" s="21">
        <v>46494</v>
      </c>
      <c r="B503" s="65" t="s">
        <v>1713</v>
      </c>
      <c r="W503" s="14"/>
      <c r="X503" s="14"/>
    </row>
    <row r="504" spans="1:24">
      <c r="A504" s="21">
        <v>46495</v>
      </c>
      <c r="B504" s="65" t="s">
        <v>1714</v>
      </c>
      <c r="W504" s="14"/>
      <c r="X504" s="14"/>
    </row>
    <row r="505" spans="1:24">
      <c r="A505" s="21">
        <v>46496</v>
      </c>
      <c r="B505" s="65" t="s">
        <v>1715</v>
      </c>
      <c r="W505" s="14"/>
      <c r="X505" s="14"/>
    </row>
    <row r="506" spans="1:24">
      <c r="A506" s="21">
        <v>46497</v>
      </c>
      <c r="B506" s="65" t="s">
        <v>1716</v>
      </c>
      <c r="W506" s="14"/>
      <c r="X506" s="14"/>
    </row>
    <row r="507" spans="1:24">
      <c r="A507" s="21">
        <v>46498</v>
      </c>
      <c r="B507" s="65" t="s">
        <v>1239</v>
      </c>
      <c r="W507" s="14"/>
      <c r="X507" s="14"/>
    </row>
    <row r="508" spans="1:24">
      <c r="A508" s="21">
        <v>46499</v>
      </c>
      <c r="B508" s="65" t="s">
        <v>1717</v>
      </c>
      <c r="W508" s="14"/>
      <c r="X508" s="14"/>
    </row>
    <row r="509" spans="1:24">
      <c r="A509" s="21">
        <v>46500</v>
      </c>
      <c r="B509" s="65" t="s">
        <v>1718</v>
      </c>
      <c r="W509" s="14"/>
      <c r="X509" s="14"/>
    </row>
    <row r="510" spans="1:24">
      <c r="A510" s="21">
        <v>46501</v>
      </c>
      <c r="B510" s="65" t="s">
        <v>1719</v>
      </c>
      <c r="W510" s="14"/>
      <c r="X510" s="14"/>
    </row>
    <row r="511" spans="1:24">
      <c r="A511" s="21">
        <v>46502</v>
      </c>
      <c r="B511" s="65" t="s">
        <v>1720</v>
      </c>
      <c r="W511" s="14"/>
      <c r="X511" s="14"/>
    </row>
    <row r="512" spans="1:24">
      <c r="A512" s="21">
        <v>46503</v>
      </c>
      <c r="B512" s="65" t="s">
        <v>1721</v>
      </c>
      <c r="W512" s="14"/>
      <c r="X512" s="14"/>
    </row>
    <row r="513" spans="1:24">
      <c r="A513" s="21">
        <v>46504</v>
      </c>
      <c r="B513" s="65" t="s">
        <v>1722</v>
      </c>
      <c r="W513" s="14"/>
      <c r="X513" s="14"/>
    </row>
    <row r="514" spans="1:24">
      <c r="A514" s="21">
        <v>46505</v>
      </c>
      <c r="B514" s="65" t="s">
        <v>1723</v>
      </c>
      <c r="W514" s="16"/>
      <c r="X514" s="14"/>
    </row>
    <row r="515" spans="1:24">
      <c r="A515" s="21">
        <v>46506</v>
      </c>
      <c r="B515" s="65" t="s">
        <v>1724</v>
      </c>
      <c r="W515" s="16"/>
      <c r="X515" s="14"/>
    </row>
    <row r="516" spans="1:24">
      <c r="A516" s="21">
        <v>46507</v>
      </c>
      <c r="B516" s="65" t="s">
        <v>1725</v>
      </c>
      <c r="W516" s="16"/>
      <c r="X516" s="14"/>
    </row>
    <row r="517" spans="1:24">
      <c r="A517" s="21">
        <v>46508</v>
      </c>
      <c r="B517" s="65" t="s">
        <v>1726</v>
      </c>
      <c r="W517" s="16"/>
      <c r="X517" s="14"/>
    </row>
    <row r="518" spans="1:24">
      <c r="A518" s="21">
        <v>46509</v>
      </c>
      <c r="B518" s="65" t="s">
        <v>1727</v>
      </c>
      <c r="W518" s="16"/>
      <c r="X518" s="14"/>
    </row>
    <row r="519" spans="1:24">
      <c r="A519" s="21">
        <v>46510</v>
      </c>
      <c r="B519" s="65" t="s">
        <v>1728</v>
      </c>
      <c r="W519" s="16"/>
      <c r="X519" s="14"/>
    </row>
    <row r="520" spans="1:24">
      <c r="A520" s="21">
        <v>46511</v>
      </c>
      <c r="B520" s="65" t="s">
        <v>1240</v>
      </c>
      <c r="W520" s="16"/>
      <c r="X520" s="14"/>
    </row>
    <row r="521" spans="1:24">
      <c r="A521" s="21">
        <v>46512</v>
      </c>
      <c r="B521" s="65" t="s">
        <v>1729</v>
      </c>
      <c r="W521" s="16"/>
      <c r="X521" s="14"/>
    </row>
    <row r="522" spans="1:24">
      <c r="A522" s="21">
        <v>46513</v>
      </c>
      <c r="B522" s="65" t="s">
        <v>1730</v>
      </c>
      <c r="W522" s="16"/>
      <c r="X522" s="14"/>
    </row>
    <row r="523" spans="1:24">
      <c r="A523" s="21">
        <v>46514</v>
      </c>
      <c r="B523" s="65" t="s">
        <v>1731</v>
      </c>
      <c r="W523" s="16"/>
      <c r="X523" s="14"/>
    </row>
    <row r="524" spans="1:24">
      <c r="A524" s="21">
        <v>46515</v>
      </c>
      <c r="B524" s="65" t="s">
        <v>1732</v>
      </c>
      <c r="W524" s="16"/>
      <c r="X524" s="14"/>
    </row>
    <row r="525" spans="1:24">
      <c r="A525" s="21">
        <v>46516</v>
      </c>
      <c r="B525" s="65" t="s">
        <v>1733</v>
      </c>
      <c r="W525" s="16"/>
      <c r="X525" s="14"/>
    </row>
    <row r="526" spans="1:24">
      <c r="A526" s="21">
        <v>46517</v>
      </c>
      <c r="B526" s="65" t="s">
        <v>1734</v>
      </c>
      <c r="W526" s="16"/>
      <c r="X526" s="14"/>
    </row>
    <row r="527" spans="1:24">
      <c r="A527" s="21">
        <v>46518</v>
      </c>
      <c r="B527" s="65" t="s">
        <v>1735</v>
      </c>
      <c r="W527" s="16"/>
      <c r="X527" s="14"/>
    </row>
    <row r="528" spans="1:24">
      <c r="A528" s="21">
        <v>46519</v>
      </c>
      <c r="B528" s="65" t="s">
        <v>1736</v>
      </c>
      <c r="W528" s="16"/>
      <c r="X528" s="14"/>
    </row>
    <row r="529" spans="1:24">
      <c r="A529" s="21">
        <v>46520</v>
      </c>
      <c r="B529" s="65" t="s">
        <v>1737</v>
      </c>
      <c r="W529" s="16"/>
      <c r="X529" s="14"/>
    </row>
    <row r="530" spans="1:24">
      <c r="A530" s="21">
        <v>46521</v>
      </c>
      <c r="B530" s="65" t="s">
        <v>1738</v>
      </c>
      <c r="W530" s="16"/>
      <c r="X530" s="14"/>
    </row>
    <row r="531" spans="1:24">
      <c r="A531" s="21">
        <v>46522</v>
      </c>
      <c r="B531" s="65" t="s">
        <v>1739</v>
      </c>
      <c r="W531" s="16"/>
      <c r="X531" s="14"/>
    </row>
    <row r="532" spans="1:24">
      <c r="A532" s="21">
        <v>46523</v>
      </c>
      <c r="B532" s="65" t="s">
        <v>1740</v>
      </c>
      <c r="W532" s="16"/>
      <c r="X532" s="14"/>
    </row>
    <row r="533" spans="1:24">
      <c r="A533" s="21">
        <v>46524</v>
      </c>
      <c r="B533" s="65" t="s">
        <v>1241</v>
      </c>
      <c r="W533" s="16"/>
      <c r="X533" s="14"/>
    </row>
    <row r="534" spans="1:24">
      <c r="A534" s="21">
        <v>46525</v>
      </c>
      <c r="B534" s="65" t="s">
        <v>1741</v>
      </c>
      <c r="W534" s="16"/>
      <c r="X534" s="14"/>
    </row>
    <row r="535" spans="1:24">
      <c r="A535" s="21">
        <v>46526</v>
      </c>
      <c r="B535" s="65" t="s">
        <v>1742</v>
      </c>
      <c r="W535" s="16"/>
      <c r="X535" s="14"/>
    </row>
    <row r="536" spans="1:24">
      <c r="A536" s="21">
        <v>46527</v>
      </c>
      <c r="B536" s="65" t="s">
        <v>1743</v>
      </c>
      <c r="W536" s="16"/>
      <c r="X536" s="14"/>
    </row>
    <row r="537" spans="1:24">
      <c r="A537" s="21">
        <v>46528</v>
      </c>
      <c r="B537" s="65" t="s">
        <v>1744</v>
      </c>
      <c r="W537" s="16"/>
      <c r="X537" s="14"/>
    </row>
    <row r="538" spans="1:24">
      <c r="A538" s="21">
        <v>46529</v>
      </c>
      <c r="B538" s="65" t="s">
        <v>1745</v>
      </c>
      <c r="W538" s="16"/>
      <c r="X538" s="14"/>
    </row>
    <row r="539" spans="1:24">
      <c r="A539" s="21">
        <v>46530</v>
      </c>
      <c r="B539" s="65" t="s">
        <v>1746</v>
      </c>
      <c r="W539" s="16"/>
      <c r="X539" s="14"/>
    </row>
    <row r="540" spans="1:24">
      <c r="A540" s="21">
        <v>46531</v>
      </c>
      <c r="B540" s="65" t="s">
        <v>1747</v>
      </c>
      <c r="W540" s="16"/>
      <c r="X540" s="14"/>
    </row>
    <row r="541" spans="1:24">
      <c r="A541" s="21">
        <v>46532</v>
      </c>
      <c r="B541" s="65" t="s">
        <v>1748</v>
      </c>
      <c r="W541" s="16"/>
      <c r="X541" s="14"/>
    </row>
    <row r="542" spans="1:24">
      <c r="A542" s="21">
        <v>46533</v>
      </c>
      <c r="B542" s="65" t="s">
        <v>1749</v>
      </c>
      <c r="W542" s="16"/>
      <c r="X542" s="14"/>
    </row>
    <row r="543" spans="1:24">
      <c r="A543" s="21">
        <v>46534</v>
      </c>
      <c r="B543" s="65" t="s">
        <v>1750</v>
      </c>
      <c r="W543" s="16"/>
      <c r="X543" s="14"/>
    </row>
    <row r="544" spans="1:24">
      <c r="A544" s="21">
        <v>46535</v>
      </c>
      <c r="B544" s="65" t="s">
        <v>1751</v>
      </c>
      <c r="W544" s="16"/>
      <c r="X544" s="14"/>
    </row>
    <row r="545" spans="1:24">
      <c r="A545" s="21">
        <v>46536</v>
      </c>
      <c r="B545" s="65" t="s">
        <v>1752</v>
      </c>
      <c r="W545" s="16"/>
      <c r="X545" s="14"/>
    </row>
    <row r="546" spans="1:24">
      <c r="A546" s="21">
        <v>46537</v>
      </c>
      <c r="B546" s="65" t="s">
        <v>1242</v>
      </c>
      <c r="W546" s="16"/>
      <c r="X546" s="14"/>
    </row>
    <row r="547" spans="1:24">
      <c r="A547" s="21">
        <v>46538</v>
      </c>
      <c r="B547" s="65" t="s">
        <v>1753</v>
      </c>
      <c r="W547" s="16"/>
      <c r="X547" s="14"/>
    </row>
    <row r="548" spans="1:24">
      <c r="A548" s="21">
        <v>46539</v>
      </c>
      <c r="B548" s="65" t="s">
        <v>1754</v>
      </c>
      <c r="W548" s="16"/>
      <c r="X548" s="14"/>
    </row>
    <row r="549" spans="1:24">
      <c r="A549" s="21">
        <v>46540</v>
      </c>
      <c r="B549" s="65" t="s">
        <v>1755</v>
      </c>
      <c r="W549" s="16"/>
      <c r="X549" s="14"/>
    </row>
    <row r="550" spans="1:24">
      <c r="A550" s="21">
        <v>46541</v>
      </c>
      <c r="B550" s="65" t="s">
        <v>1756</v>
      </c>
      <c r="W550" s="16"/>
      <c r="X550" s="14"/>
    </row>
    <row r="551" spans="1:24">
      <c r="A551" s="21">
        <v>46542</v>
      </c>
      <c r="B551" s="65" t="s">
        <v>1757</v>
      </c>
      <c r="W551" s="16"/>
      <c r="X551" s="14"/>
    </row>
    <row r="552" spans="1:24">
      <c r="A552" s="21">
        <v>46543</v>
      </c>
      <c r="B552" s="65" t="s">
        <v>1758</v>
      </c>
      <c r="W552" s="16"/>
      <c r="X552" s="14"/>
    </row>
    <row r="553" spans="1:24">
      <c r="A553" s="21">
        <v>46544</v>
      </c>
      <c r="B553" s="65" t="s">
        <v>1759</v>
      </c>
      <c r="W553" s="16"/>
      <c r="X553" s="14"/>
    </row>
    <row r="554" spans="1:24">
      <c r="A554" s="21">
        <v>46545</v>
      </c>
      <c r="B554" s="65" t="s">
        <v>1760</v>
      </c>
      <c r="W554" s="16"/>
      <c r="X554" s="14"/>
    </row>
    <row r="555" spans="1:24">
      <c r="A555" s="21">
        <v>46546</v>
      </c>
      <c r="B555" s="65" t="s">
        <v>1761</v>
      </c>
      <c r="W555" s="16"/>
      <c r="X555" s="14"/>
    </row>
    <row r="556" spans="1:24">
      <c r="A556" s="21">
        <v>46547</v>
      </c>
      <c r="B556" s="65" t="s">
        <v>1762</v>
      </c>
      <c r="W556" s="16"/>
      <c r="X556" s="14"/>
    </row>
    <row r="557" spans="1:24">
      <c r="A557" s="21">
        <v>46548</v>
      </c>
      <c r="B557" s="65" t="s">
        <v>1763</v>
      </c>
      <c r="W557" s="16"/>
      <c r="X557" s="14"/>
    </row>
    <row r="558" spans="1:24">
      <c r="A558" s="21">
        <v>46549</v>
      </c>
      <c r="B558" s="65" t="s">
        <v>1764</v>
      </c>
      <c r="W558" s="16"/>
      <c r="X558" s="14"/>
    </row>
    <row r="559" spans="1:24">
      <c r="A559" s="21">
        <v>46550</v>
      </c>
      <c r="B559" s="65" t="s">
        <v>1243</v>
      </c>
      <c r="W559" s="16"/>
      <c r="X559" s="14"/>
    </row>
    <row r="560" spans="1:24">
      <c r="A560" s="21">
        <v>46551</v>
      </c>
      <c r="B560" s="65" t="s">
        <v>1765</v>
      </c>
      <c r="W560" s="16"/>
      <c r="X560" s="14"/>
    </row>
    <row r="561" spans="1:24">
      <c r="A561" s="21">
        <v>46552</v>
      </c>
      <c r="B561" s="65" t="s">
        <v>1766</v>
      </c>
      <c r="W561" s="16"/>
      <c r="X561" s="14"/>
    </row>
    <row r="562" spans="1:24">
      <c r="A562" s="21">
        <v>46553</v>
      </c>
      <c r="B562" s="65" t="s">
        <v>1767</v>
      </c>
      <c r="W562" s="16"/>
      <c r="X562" s="14"/>
    </row>
    <row r="563" spans="1:24">
      <c r="A563" s="21">
        <v>46554</v>
      </c>
      <c r="B563" s="65" t="s">
        <v>1768</v>
      </c>
      <c r="W563" s="16"/>
      <c r="X563" s="14"/>
    </row>
    <row r="564" spans="1:24">
      <c r="A564" s="21">
        <v>46555</v>
      </c>
      <c r="B564" s="65" t="s">
        <v>1769</v>
      </c>
      <c r="W564" s="16"/>
      <c r="X564" s="14"/>
    </row>
    <row r="565" spans="1:24">
      <c r="A565" s="21">
        <v>46556</v>
      </c>
      <c r="B565" s="65" t="s">
        <v>1770</v>
      </c>
      <c r="W565" s="16"/>
      <c r="X565" s="14"/>
    </row>
    <row r="566" spans="1:24">
      <c r="A566" s="21">
        <v>46557</v>
      </c>
      <c r="B566" s="65" t="s">
        <v>1771</v>
      </c>
      <c r="W566" s="16"/>
      <c r="X566" s="14"/>
    </row>
    <row r="567" spans="1:24">
      <c r="A567" s="21">
        <v>46558</v>
      </c>
      <c r="B567" s="65" t="s">
        <v>1772</v>
      </c>
      <c r="W567" s="16"/>
      <c r="X567" s="14"/>
    </row>
    <row r="568" spans="1:24">
      <c r="A568" s="21">
        <v>46559</v>
      </c>
      <c r="B568" s="65" t="s">
        <v>1773</v>
      </c>
      <c r="W568" s="16"/>
      <c r="X568" s="14"/>
    </row>
    <row r="569" spans="1:24">
      <c r="A569" s="21">
        <v>46560</v>
      </c>
      <c r="B569" s="65" t="s">
        <v>1774</v>
      </c>
      <c r="W569" s="16"/>
      <c r="X569" s="14"/>
    </row>
    <row r="570" spans="1:24">
      <c r="A570" s="21">
        <v>46561</v>
      </c>
      <c r="B570" s="65" t="s">
        <v>1775</v>
      </c>
      <c r="W570" s="16"/>
      <c r="X570" s="14"/>
    </row>
    <row r="571" spans="1:24">
      <c r="A571" s="21">
        <v>46562</v>
      </c>
      <c r="B571" s="65" t="s">
        <v>1776</v>
      </c>
      <c r="W571" s="16"/>
      <c r="X571" s="14"/>
    </row>
    <row r="572" spans="1:24">
      <c r="A572" s="21">
        <v>46563</v>
      </c>
      <c r="B572" s="65" t="s">
        <v>1244</v>
      </c>
      <c r="W572" s="16"/>
      <c r="X572" s="14"/>
    </row>
    <row r="573" spans="1:24">
      <c r="A573" s="21">
        <v>46564</v>
      </c>
      <c r="B573" s="65" t="s">
        <v>1777</v>
      </c>
      <c r="W573" s="16"/>
      <c r="X573" s="14"/>
    </row>
    <row r="574" spans="1:24">
      <c r="A574" s="21">
        <v>46565</v>
      </c>
      <c r="B574" s="65" t="s">
        <v>1778</v>
      </c>
      <c r="W574" s="16"/>
      <c r="X574" s="14"/>
    </row>
    <row r="575" spans="1:24">
      <c r="A575" s="21">
        <v>46566</v>
      </c>
      <c r="B575" s="65" t="s">
        <v>1779</v>
      </c>
      <c r="W575" s="16"/>
      <c r="X575" s="14"/>
    </row>
    <row r="576" spans="1:24">
      <c r="A576" s="21">
        <v>46567</v>
      </c>
      <c r="B576" s="65" t="s">
        <v>1780</v>
      </c>
      <c r="W576" s="16"/>
      <c r="X576" s="14"/>
    </row>
    <row r="577" spans="1:24">
      <c r="A577" s="21">
        <v>46568</v>
      </c>
      <c r="B577" s="65" t="s">
        <v>1781</v>
      </c>
      <c r="W577" s="16"/>
      <c r="X577" s="14"/>
    </row>
    <row r="578" spans="1:24">
      <c r="A578" s="21">
        <v>46569</v>
      </c>
      <c r="B578" s="65" t="s">
        <v>1782</v>
      </c>
      <c r="W578" s="16"/>
      <c r="X578" s="14"/>
    </row>
    <row r="579" spans="1:24">
      <c r="A579" s="21">
        <v>46570</v>
      </c>
      <c r="B579" s="65" t="s">
        <v>1783</v>
      </c>
      <c r="W579" s="16"/>
      <c r="X579" s="14"/>
    </row>
    <row r="580" spans="1:24">
      <c r="A580" s="21">
        <v>46571</v>
      </c>
      <c r="B580" s="65" t="s">
        <v>1784</v>
      </c>
      <c r="W580" s="16"/>
      <c r="X580" s="14"/>
    </row>
    <row r="581" spans="1:24">
      <c r="A581" s="21">
        <v>46572</v>
      </c>
      <c r="B581" s="65" t="s">
        <v>1785</v>
      </c>
      <c r="W581" s="16"/>
      <c r="X581" s="14"/>
    </row>
    <row r="582" spans="1:24">
      <c r="A582" s="21">
        <v>46573</v>
      </c>
      <c r="B582" s="65" t="s">
        <v>1786</v>
      </c>
      <c r="W582" s="16"/>
      <c r="X582" s="14"/>
    </row>
    <row r="583" spans="1:24">
      <c r="A583" s="21">
        <v>46574</v>
      </c>
      <c r="B583" s="65" t="s">
        <v>1787</v>
      </c>
      <c r="W583" s="16"/>
      <c r="X583" s="14"/>
    </row>
    <row r="584" spans="1:24">
      <c r="A584" s="21">
        <v>46575</v>
      </c>
      <c r="B584" s="65" t="s">
        <v>1788</v>
      </c>
      <c r="W584" s="16"/>
      <c r="X584" s="14"/>
    </row>
    <row r="585" spans="1:24">
      <c r="A585" s="21">
        <v>46576</v>
      </c>
      <c r="B585" s="65" t="s">
        <v>1245</v>
      </c>
      <c r="W585" s="16"/>
      <c r="X585" s="14"/>
    </row>
    <row r="586" spans="1:24">
      <c r="A586" s="21">
        <v>46577</v>
      </c>
      <c r="B586" s="65" t="s">
        <v>1789</v>
      </c>
      <c r="W586" s="16"/>
      <c r="X586" s="14"/>
    </row>
    <row r="587" spans="1:24">
      <c r="A587" s="21">
        <v>46578</v>
      </c>
      <c r="B587" s="65" t="s">
        <v>1790</v>
      </c>
      <c r="W587" s="16"/>
      <c r="X587" s="14"/>
    </row>
    <row r="588" spans="1:24">
      <c r="A588" s="21">
        <v>46579</v>
      </c>
      <c r="B588" s="65" t="s">
        <v>1791</v>
      </c>
      <c r="W588" s="16"/>
      <c r="X588" s="14"/>
    </row>
    <row r="589" spans="1:24">
      <c r="A589" s="21">
        <v>46580</v>
      </c>
      <c r="B589" s="65" t="s">
        <v>1792</v>
      </c>
      <c r="W589" s="16"/>
      <c r="X589" s="14"/>
    </row>
    <row r="590" spans="1:24">
      <c r="A590" s="21">
        <v>46581</v>
      </c>
      <c r="B590" s="65" t="s">
        <v>1793</v>
      </c>
      <c r="W590" s="16"/>
      <c r="X590" s="14"/>
    </row>
    <row r="591" spans="1:24">
      <c r="A591" s="21">
        <v>46582</v>
      </c>
      <c r="B591" s="65" t="s">
        <v>1794</v>
      </c>
      <c r="W591" s="16"/>
      <c r="X591" s="14"/>
    </row>
    <row r="592" spans="1:24">
      <c r="A592" s="21">
        <v>46583</v>
      </c>
      <c r="B592" s="65" t="s">
        <v>1795</v>
      </c>
      <c r="W592" s="16"/>
      <c r="X592" s="14"/>
    </row>
    <row r="593" spans="1:24">
      <c r="A593" s="21">
        <v>46584</v>
      </c>
      <c r="B593" s="65" t="s">
        <v>1796</v>
      </c>
      <c r="W593" s="16"/>
      <c r="X593" s="14"/>
    </row>
    <row r="594" spans="1:24">
      <c r="A594" s="21">
        <v>46585</v>
      </c>
      <c r="B594" s="65" t="s">
        <v>1797</v>
      </c>
      <c r="W594" s="16"/>
      <c r="X594" s="14"/>
    </row>
    <row r="595" spans="1:24">
      <c r="A595" s="21">
        <v>46586</v>
      </c>
      <c r="B595" s="65" t="s">
        <v>1798</v>
      </c>
      <c r="W595" s="16"/>
      <c r="X595" s="14"/>
    </row>
    <row r="596" spans="1:24">
      <c r="A596" s="21">
        <v>46587</v>
      </c>
      <c r="B596" s="65" t="s">
        <v>1799</v>
      </c>
      <c r="W596" s="16"/>
      <c r="X596" s="14"/>
    </row>
    <row r="597" spans="1:24">
      <c r="A597" s="21">
        <v>46588</v>
      </c>
      <c r="B597" s="65" t="s">
        <v>1800</v>
      </c>
      <c r="W597" s="16"/>
      <c r="X597" s="14"/>
    </row>
    <row r="598" spans="1:24">
      <c r="A598" s="21">
        <v>46589</v>
      </c>
      <c r="B598" s="65" t="s">
        <v>1246</v>
      </c>
      <c r="W598" s="16"/>
      <c r="X598" s="14"/>
    </row>
    <row r="599" spans="1:24">
      <c r="A599" s="21">
        <v>46590</v>
      </c>
      <c r="B599" s="65" t="s">
        <v>1801</v>
      </c>
      <c r="W599" s="16"/>
      <c r="X599" s="14"/>
    </row>
    <row r="600" spans="1:24">
      <c r="A600" s="21">
        <v>46591</v>
      </c>
      <c r="B600" s="65" t="s">
        <v>1802</v>
      </c>
      <c r="W600" s="16"/>
      <c r="X600" s="14"/>
    </row>
    <row r="601" spans="1:24">
      <c r="A601" s="21">
        <v>46592</v>
      </c>
      <c r="B601" s="65" t="s">
        <v>1803</v>
      </c>
      <c r="W601" s="16"/>
      <c r="X601" s="14"/>
    </row>
    <row r="602" spans="1:24">
      <c r="A602" s="21">
        <v>46593</v>
      </c>
      <c r="B602" s="65" t="s">
        <v>1804</v>
      </c>
      <c r="W602" s="16"/>
      <c r="X602" s="14"/>
    </row>
    <row r="603" spans="1:24">
      <c r="A603" s="21">
        <v>46594</v>
      </c>
      <c r="B603" s="65" t="s">
        <v>1805</v>
      </c>
      <c r="W603" s="16"/>
      <c r="X603" s="14"/>
    </row>
    <row r="604" spans="1:24">
      <c r="A604" s="21">
        <v>46595</v>
      </c>
      <c r="B604" s="65" t="s">
        <v>1806</v>
      </c>
      <c r="W604" s="16"/>
      <c r="X604" s="14"/>
    </row>
    <row r="605" spans="1:24">
      <c r="A605" s="21">
        <v>46596</v>
      </c>
      <c r="B605" s="65" t="s">
        <v>1807</v>
      </c>
      <c r="W605" s="16"/>
      <c r="X605" s="14"/>
    </row>
    <row r="606" spans="1:24">
      <c r="A606" s="21">
        <v>46597</v>
      </c>
      <c r="B606" s="65" t="s">
        <v>1808</v>
      </c>
      <c r="W606" s="16"/>
      <c r="X606" s="14"/>
    </row>
    <row r="607" spans="1:24">
      <c r="A607" s="21">
        <v>46598</v>
      </c>
      <c r="B607" s="65" t="s">
        <v>1809</v>
      </c>
      <c r="W607" s="16"/>
      <c r="X607" s="14"/>
    </row>
    <row r="608" spans="1:24">
      <c r="A608" s="21">
        <v>46599</v>
      </c>
      <c r="B608" s="65" t="s">
        <v>1810</v>
      </c>
      <c r="W608" s="16"/>
      <c r="X608" s="14"/>
    </row>
    <row r="609" spans="1:24">
      <c r="A609" s="21">
        <v>46600</v>
      </c>
      <c r="B609" s="65" t="s">
        <v>1811</v>
      </c>
      <c r="W609" s="16"/>
      <c r="X609" s="14"/>
    </row>
    <row r="610" spans="1:24">
      <c r="A610" s="21">
        <v>46601</v>
      </c>
      <c r="B610" s="65" t="s">
        <v>1812</v>
      </c>
      <c r="W610" s="16"/>
      <c r="X610" s="14"/>
    </row>
    <row r="611" spans="1:24">
      <c r="A611" s="21">
        <v>46602</v>
      </c>
      <c r="B611" s="65" t="s">
        <v>1247</v>
      </c>
      <c r="W611" s="16"/>
      <c r="X611" s="14"/>
    </row>
    <row r="612" spans="1:24">
      <c r="A612" s="21">
        <v>46603</v>
      </c>
      <c r="B612" s="65" t="s">
        <v>1813</v>
      </c>
      <c r="W612" s="16"/>
      <c r="X612" s="14"/>
    </row>
    <row r="613" spans="1:24">
      <c r="A613" s="21">
        <v>46604</v>
      </c>
      <c r="B613" s="65" t="s">
        <v>1814</v>
      </c>
      <c r="W613" s="16"/>
      <c r="X613" s="14"/>
    </row>
    <row r="614" spans="1:24">
      <c r="A614" s="21">
        <v>46605</v>
      </c>
      <c r="B614" s="65" t="s">
        <v>1815</v>
      </c>
      <c r="W614" s="16"/>
      <c r="X614" s="14"/>
    </row>
    <row r="615" spans="1:24">
      <c r="A615" s="21">
        <v>46606</v>
      </c>
      <c r="B615" s="65" t="s">
        <v>1816</v>
      </c>
      <c r="W615" s="16"/>
      <c r="X615" s="14"/>
    </row>
    <row r="616" spans="1:24">
      <c r="A616" s="21">
        <v>46607</v>
      </c>
      <c r="B616" s="65" t="s">
        <v>1817</v>
      </c>
      <c r="W616" s="16"/>
      <c r="X616" s="14"/>
    </row>
    <row r="617" spans="1:24">
      <c r="A617" s="21">
        <v>46608</v>
      </c>
      <c r="B617" s="65" t="s">
        <v>1818</v>
      </c>
      <c r="W617" s="16"/>
      <c r="X617" s="14"/>
    </row>
    <row r="618" spans="1:24">
      <c r="A618" s="21">
        <v>46609</v>
      </c>
      <c r="B618" s="65" t="s">
        <v>1819</v>
      </c>
      <c r="W618" s="16"/>
      <c r="X618" s="14"/>
    </row>
    <row r="619" spans="1:24">
      <c r="A619" s="21">
        <v>46610</v>
      </c>
      <c r="B619" s="65" t="s">
        <v>1820</v>
      </c>
      <c r="W619" s="16"/>
      <c r="X619" s="14"/>
    </row>
    <row r="620" spans="1:24">
      <c r="A620" s="21">
        <v>46611</v>
      </c>
      <c r="B620" s="65" t="s">
        <v>1821</v>
      </c>
      <c r="W620" s="16"/>
      <c r="X620" s="14"/>
    </row>
    <row r="621" spans="1:24">
      <c r="A621" s="21">
        <v>46612</v>
      </c>
      <c r="B621" s="65" t="s">
        <v>1822</v>
      </c>
      <c r="W621" s="16"/>
      <c r="X621" s="14"/>
    </row>
    <row r="622" spans="1:24">
      <c r="A622" s="21">
        <v>46613</v>
      </c>
      <c r="B622" s="65" t="s">
        <v>1823</v>
      </c>
      <c r="W622" s="16"/>
      <c r="X622" s="14"/>
    </row>
    <row r="623" spans="1:24">
      <c r="A623" s="21">
        <v>46614</v>
      </c>
      <c r="B623" s="65" t="s">
        <v>1824</v>
      </c>
      <c r="W623" s="16"/>
      <c r="X623" s="14"/>
    </row>
    <row r="624" spans="1:24">
      <c r="A624" s="21">
        <v>46615</v>
      </c>
      <c r="B624" s="65" t="s">
        <v>1248</v>
      </c>
      <c r="W624" s="16"/>
      <c r="X624" s="14"/>
    </row>
    <row r="625" spans="1:24">
      <c r="A625" s="21">
        <v>46616</v>
      </c>
      <c r="B625" s="65" t="s">
        <v>1825</v>
      </c>
      <c r="W625" s="16"/>
      <c r="X625" s="14"/>
    </row>
    <row r="626" spans="1:24">
      <c r="A626" s="21">
        <v>46617</v>
      </c>
      <c r="B626" s="65" t="s">
        <v>1826</v>
      </c>
      <c r="W626" s="16"/>
      <c r="X626" s="14"/>
    </row>
    <row r="627" spans="1:24">
      <c r="A627" s="21">
        <v>46618</v>
      </c>
      <c r="B627" s="65" t="s">
        <v>1827</v>
      </c>
      <c r="W627" s="16"/>
      <c r="X627" s="14"/>
    </row>
    <row r="628" spans="1:24">
      <c r="A628" s="21">
        <v>46619</v>
      </c>
      <c r="B628" s="65" t="s">
        <v>1828</v>
      </c>
      <c r="W628" s="16"/>
      <c r="X628" s="14"/>
    </row>
    <row r="629" spans="1:24">
      <c r="A629" s="21">
        <v>46620</v>
      </c>
      <c r="B629" s="65" t="s">
        <v>1829</v>
      </c>
      <c r="W629" s="16"/>
      <c r="X629" s="14"/>
    </row>
    <row r="630" spans="1:24">
      <c r="A630" s="21">
        <v>46621</v>
      </c>
      <c r="B630" s="65" t="s">
        <v>1830</v>
      </c>
      <c r="W630" s="16"/>
      <c r="X630" s="14"/>
    </row>
    <row r="631" spans="1:24">
      <c r="A631" s="21">
        <v>46622</v>
      </c>
      <c r="B631" s="65" t="s">
        <v>1831</v>
      </c>
      <c r="W631" s="16"/>
      <c r="X631" s="14"/>
    </row>
    <row r="632" spans="1:24">
      <c r="A632" s="21">
        <v>46623</v>
      </c>
      <c r="B632" s="65" t="s">
        <v>1832</v>
      </c>
      <c r="W632" s="16"/>
      <c r="X632" s="14"/>
    </row>
    <row r="633" spans="1:24">
      <c r="A633" s="21">
        <v>46624</v>
      </c>
      <c r="B633" s="65" t="s">
        <v>1833</v>
      </c>
      <c r="W633" s="16"/>
      <c r="X633" s="14"/>
    </row>
    <row r="634" spans="1:24">
      <c r="A634" s="21">
        <v>46625</v>
      </c>
      <c r="B634" s="65" t="s">
        <v>1834</v>
      </c>
      <c r="W634" s="16"/>
      <c r="X634" s="14"/>
    </row>
    <row r="635" spans="1:24">
      <c r="A635" s="21">
        <v>46626</v>
      </c>
      <c r="B635" s="65" t="s">
        <v>1835</v>
      </c>
      <c r="W635" s="16"/>
      <c r="X635" s="14"/>
    </row>
    <row r="636" spans="1:24">
      <c r="A636" s="21">
        <v>46627</v>
      </c>
      <c r="B636" s="65" t="s">
        <v>1836</v>
      </c>
      <c r="W636" s="16"/>
      <c r="X636" s="14"/>
    </row>
    <row r="637" spans="1:24">
      <c r="A637" s="21">
        <v>46628</v>
      </c>
      <c r="B637" s="65" t="s">
        <v>1249</v>
      </c>
      <c r="W637" s="16"/>
      <c r="X637" s="14"/>
    </row>
    <row r="638" spans="1:24">
      <c r="A638" s="21">
        <v>46629</v>
      </c>
      <c r="B638" s="65" t="s">
        <v>1837</v>
      </c>
      <c r="W638" s="16"/>
      <c r="X638" s="14"/>
    </row>
    <row r="639" spans="1:24">
      <c r="A639" s="21">
        <v>46630</v>
      </c>
      <c r="B639" s="65" t="s">
        <v>1838</v>
      </c>
      <c r="W639" s="16"/>
      <c r="X639" s="14"/>
    </row>
    <row r="640" spans="1:24">
      <c r="A640" s="21">
        <v>46631</v>
      </c>
      <c r="B640" s="65" t="s">
        <v>1839</v>
      </c>
      <c r="W640" s="16"/>
      <c r="X640" s="14"/>
    </row>
    <row r="641" spans="1:24">
      <c r="A641" s="21">
        <v>46632</v>
      </c>
      <c r="B641" s="65" t="s">
        <v>1840</v>
      </c>
      <c r="W641" s="16"/>
      <c r="X641" s="14"/>
    </row>
    <row r="642" spans="1:24">
      <c r="A642" s="21">
        <v>46633</v>
      </c>
      <c r="B642" s="65" t="s">
        <v>1841</v>
      </c>
      <c r="W642" s="16"/>
      <c r="X642" s="14"/>
    </row>
    <row r="643" spans="1:24">
      <c r="A643" s="21">
        <v>46634</v>
      </c>
      <c r="B643" s="65" t="s">
        <v>1842</v>
      </c>
      <c r="W643" s="16"/>
      <c r="X643" s="14"/>
    </row>
    <row r="644" spans="1:24">
      <c r="A644" s="21">
        <v>46635</v>
      </c>
      <c r="B644" s="65" t="s">
        <v>1843</v>
      </c>
      <c r="W644" s="16"/>
      <c r="X644" s="14"/>
    </row>
    <row r="645" spans="1:24">
      <c r="A645" s="21">
        <v>46636</v>
      </c>
      <c r="B645" s="65" t="s">
        <v>1844</v>
      </c>
      <c r="W645" s="16"/>
      <c r="X645" s="14"/>
    </row>
    <row r="646" spans="1:24">
      <c r="A646" s="21">
        <v>46637</v>
      </c>
      <c r="B646" s="65" t="s">
        <v>1845</v>
      </c>
      <c r="W646" s="16"/>
      <c r="X646" s="14"/>
    </row>
    <row r="647" spans="1:24">
      <c r="A647" s="21">
        <v>46638</v>
      </c>
      <c r="B647" s="65" t="s">
        <v>1846</v>
      </c>
      <c r="W647" s="16"/>
      <c r="X647" s="14"/>
    </row>
    <row r="648" spans="1:24">
      <c r="A648" s="21">
        <v>46639</v>
      </c>
      <c r="B648" s="65" t="s">
        <v>1847</v>
      </c>
      <c r="W648" s="16"/>
      <c r="X648" s="14"/>
    </row>
    <row r="649" spans="1:24">
      <c r="A649" s="21">
        <v>46640</v>
      </c>
      <c r="B649" s="65" t="s">
        <v>1848</v>
      </c>
      <c r="W649" s="16"/>
      <c r="X649" s="14"/>
    </row>
    <row r="650" spans="1:24">
      <c r="A650" s="21">
        <v>46641</v>
      </c>
      <c r="B650" s="65" t="s">
        <v>1250</v>
      </c>
      <c r="W650" s="16"/>
      <c r="X650" s="14"/>
    </row>
    <row r="651" spans="1:24">
      <c r="A651" s="21">
        <v>46642</v>
      </c>
      <c r="B651" s="65" t="s">
        <v>1849</v>
      </c>
      <c r="W651" s="16"/>
      <c r="X651" s="14"/>
    </row>
    <row r="652" spans="1:24">
      <c r="A652" s="21">
        <v>46643</v>
      </c>
      <c r="B652" s="65" t="s">
        <v>1850</v>
      </c>
      <c r="W652" s="16"/>
      <c r="X652" s="14"/>
    </row>
    <row r="653" spans="1:24">
      <c r="A653" s="21">
        <v>46644</v>
      </c>
      <c r="B653" s="65" t="s">
        <v>1851</v>
      </c>
      <c r="W653" s="16"/>
      <c r="X653" s="14"/>
    </row>
    <row r="654" spans="1:24">
      <c r="A654" s="21">
        <v>46645</v>
      </c>
      <c r="B654" s="65" t="s">
        <v>1852</v>
      </c>
      <c r="W654" s="16"/>
      <c r="X654" s="14"/>
    </row>
    <row r="655" spans="1:24">
      <c r="A655" s="21">
        <v>46646</v>
      </c>
      <c r="B655" s="65" t="s">
        <v>1853</v>
      </c>
      <c r="W655" s="16"/>
      <c r="X655" s="14"/>
    </row>
    <row r="656" spans="1:24">
      <c r="A656" s="21">
        <v>46647</v>
      </c>
      <c r="B656" s="65" t="s">
        <v>1854</v>
      </c>
      <c r="W656" s="16"/>
      <c r="X656" s="14"/>
    </row>
    <row r="657" spans="1:24">
      <c r="A657" s="21">
        <v>46648</v>
      </c>
      <c r="B657" s="65" t="s">
        <v>1855</v>
      </c>
      <c r="W657" s="16"/>
      <c r="X657" s="14"/>
    </row>
    <row r="658" spans="1:24">
      <c r="A658" s="21">
        <v>46649</v>
      </c>
      <c r="B658" s="65" t="s">
        <v>1856</v>
      </c>
      <c r="W658" s="16"/>
      <c r="X658" s="14"/>
    </row>
    <row r="659" spans="1:24">
      <c r="A659" s="21">
        <v>46650</v>
      </c>
      <c r="B659" s="65" t="s">
        <v>1857</v>
      </c>
      <c r="W659" s="16"/>
      <c r="X659" s="14"/>
    </row>
    <row r="660" spans="1:24">
      <c r="A660" s="21">
        <v>46651</v>
      </c>
      <c r="B660" s="65" t="s">
        <v>1858</v>
      </c>
      <c r="W660" s="16"/>
      <c r="X660" s="14"/>
    </row>
    <row r="661" spans="1:24">
      <c r="A661" s="21">
        <v>46652</v>
      </c>
      <c r="B661" s="65" t="s">
        <v>1859</v>
      </c>
      <c r="W661" s="16"/>
      <c r="X661" s="14"/>
    </row>
    <row r="662" spans="1:24">
      <c r="A662" s="21">
        <v>46653</v>
      </c>
      <c r="B662" s="65" t="s">
        <v>1860</v>
      </c>
      <c r="W662" s="16"/>
      <c r="X662" s="14"/>
    </row>
    <row r="663" spans="1:24">
      <c r="A663" s="21">
        <v>46654</v>
      </c>
      <c r="B663" s="65" t="s">
        <v>1251</v>
      </c>
      <c r="W663" s="16"/>
      <c r="X663" s="14"/>
    </row>
    <row r="664" spans="1:24">
      <c r="A664" s="21">
        <v>46655</v>
      </c>
      <c r="B664" s="65" t="s">
        <v>1861</v>
      </c>
      <c r="W664" s="16"/>
      <c r="X664" s="14"/>
    </row>
    <row r="665" spans="1:24">
      <c r="A665" s="21">
        <v>46656</v>
      </c>
      <c r="B665" s="65" t="s">
        <v>1862</v>
      </c>
      <c r="W665" s="16"/>
      <c r="X665" s="14"/>
    </row>
    <row r="666" spans="1:24">
      <c r="A666" s="21">
        <v>46657</v>
      </c>
      <c r="B666" s="65" t="s">
        <v>1863</v>
      </c>
      <c r="W666" s="16"/>
      <c r="X666" s="14"/>
    </row>
    <row r="667" spans="1:24">
      <c r="A667" s="21">
        <v>46658</v>
      </c>
      <c r="B667" s="65" t="s">
        <v>1864</v>
      </c>
      <c r="W667" s="16"/>
      <c r="X667" s="14"/>
    </row>
    <row r="668" spans="1:24">
      <c r="A668" s="21">
        <v>46659</v>
      </c>
      <c r="B668" s="65" t="s">
        <v>1865</v>
      </c>
      <c r="W668" s="16"/>
      <c r="X668" s="14"/>
    </row>
    <row r="669" spans="1:24">
      <c r="A669" s="21">
        <v>46660</v>
      </c>
      <c r="B669" s="65" t="s">
        <v>1866</v>
      </c>
      <c r="W669" s="16"/>
      <c r="X669" s="14"/>
    </row>
    <row r="670" spans="1:24">
      <c r="A670" s="21">
        <v>46661</v>
      </c>
      <c r="B670" s="65" t="s">
        <v>1867</v>
      </c>
      <c r="W670" s="16"/>
      <c r="X670" s="14"/>
    </row>
    <row r="671" spans="1:24">
      <c r="A671" s="21">
        <v>46662</v>
      </c>
      <c r="B671" s="65" t="s">
        <v>1868</v>
      </c>
      <c r="W671" s="16"/>
      <c r="X671" s="14"/>
    </row>
    <row r="672" spans="1:24">
      <c r="A672" s="21">
        <v>46663</v>
      </c>
      <c r="B672" s="65" t="s">
        <v>1869</v>
      </c>
      <c r="W672" s="16"/>
      <c r="X672" s="14"/>
    </row>
    <row r="673" spans="1:24">
      <c r="A673" s="21">
        <v>46664</v>
      </c>
      <c r="B673" s="65" t="s">
        <v>1870</v>
      </c>
      <c r="W673" s="16"/>
      <c r="X673" s="14"/>
    </row>
    <row r="674" spans="1:24">
      <c r="A674" s="21">
        <v>46665</v>
      </c>
      <c r="B674" s="65" t="s">
        <v>1871</v>
      </c>
      <c r="W674" s="16"/>
      <c r="X674" s="14"/>
    </row>
    <row r="675" spans="1:24">
      <c r="A675" s="21">
        <v>46666</v>
      </c>
      <c r="B675" s="65" t="s">
        <v>1872</v>
      </c>
      <c r="W675" s="16"/>
      <c r="X675" s="14"/>
    </row>
    <row r="676" spans="1:24">
      <c r="A676" s="21">
        <v>46667</v>
      </c>
      <c r="B676" s="65" t="s">
        <v>1252</v>
      </c>
      <c r="W676" s="16"/>
      <c r="X676" s="14"/>
    </row>
    <row r="677" spans="1:24">
      <c r="A677" s="21">
        <v>46668</v>
      </c>
      <c r="B677" s="65" t="s">
        <v>1873</v>
      </c>
      <c r="W677" s="16"/>
      <c r="X677" s="14"/>
    </row>
    <row r="678" spans="1:24">
      <c r="A678" s="21">
        <v>46669</v>
      </c>
      <c r="B678" s="65" t="s">
        <v>1874</v>
      </c>
      <c r="W678" s="16"/>
      <c r="X678" s="14"/>
    </row>
    <row r="679" spans="1:24">
      <c r="A679" s="21">
        <v>46670</v>
      </c>
      <c r="B679" s="65" t="s">
        <v>1875</v>
      </c>
      <c r="W679" s="16"/>
      <c r="X679" s="14"/>
    </row>
    <row r="680" spans="1:24">
      <c r="A680" s="21">
        <v>46671</v>
      </c>
      <c r="B680" s="65" t="s">
        <v>1876</v>
      </c>
      <c r="W680" s="16"/>
      <c r="X680" s="14"/>
    </row>
    <row r="681" spans="1:24">
      <c r="A681" s="21">
        <v>46672</v>
      </c>
      <c r="B681" s="65" t="s">
        <v>1877</v>
      </c>
      <c r="W681" s="16"/>
      <c r="X681" s="14"/>
    </row>
    <row r="682" spans="1:24">
      <c r="A682" s="21">
        <v>46673</v>
      </c>
      <c r="B682" s="65" t="s">
        <v>1878</v>
      </c>
      <c r="W682" s="16"/>
      <c r="X682" s="14"/>
    </row>
    <row r="683" spans="1:24">
      <c r="A683" s="21">
        <v>46674</v>
      </c>
      <c r="B683" s="65" t="s">
        <v>1879</v>
      </c>
      <c r="W683" s="16"/>
      <c r="X683" s="14"/>
    </row>
    <row r="684" spans="1:24">
      <c r="A684" s="21">
        <v>46675</v>
      </c>
      <c r="B684" s="65" t="s">
        <v>1880</v>
      </c>
      <c r="W684" s="16"/>
      <c r="X684" s="14"/>
    </row>
    <row r="685" spans="1:24">
      <c r="A685" s="21">
        <v>46676</v>
      </c>
      <c r="B685" s="65" t="s">
        <v>1881</v>
      </c>
      <c r="W685" s="16"/>
      <c r="X685" s="14"/>
    </row>
    <row r="686" spans="1:24">
      <c r="A686" s="21">
        <v>46677</v>
      </c>
      <c r="B686" s="65" t="s">
        <v>1882</v>
      </c>
      <c r="W686" s="16"/>
      <c r="X686" s="14"/>
    </row>
    <row r="687" spans="1:24">
      <c r="A687" s="21">
        <v>46678</v>
      </c>
      <c r="B687" s="65" t="s">
        <v>1883</v>
      </c>
      <c r="W687" s="16"/>
      <c r="X687" s="14"/>
    </row>
    <row r="688" spans="1:24">
      <c r="A688" s="21">
        <v>46679</v>
      </c>
      <c r="B688" s="65" t="s">
        <v>1884</v>
      </c>
      <c r="W688" s="16"/>
      <c r="X688" s="14"/>
    </row>
    <row r="689" spans="1:24">
      <c r="A689" s="21">
        <v>46680</v>
      </c>
      <c r="B689" s="65" t="s">
        <v>1253</v>
      </c>
      <c r="W689" s="16"/>
      <c r="X689" s="14"/>
    </row>
    <row r="690" spans="1:24">
      <c r="A690" s="21">
        <v>46681</v>
      </c>
      <c r="B690" s="65" t="s">
        <v>1885</v>
      </c>
      <c r="W690" s="16"/>
      <c r="X690" s="14"/>
    </row>
    <row r="691" spans="1:24">
      <c r="A691" s="21">
        <v>46682</v>
      </c>
      <c r="B691" s="65" t="s">
        <v>1886</v>
      </c>
      <c r="W691" s="16"/>
      <c r="X691" s="14"/>
    </row>
    <row r="692" spans="1:24">
      <c r="A692" s="21">
        <v>46683</v>
      </c>
      <c r="B692" s="65" t="s">
        <v>1887</v>
      </c>
      <c r="W692" s="16"/>
      <c r="X692" s="14"/>
    </row>
    <row r="693" spans="1:24">
      <c r="A693" s="21">
        <v>46684</v>
      </c>
      <c r="B693" s="65" t="s">
        <v>1888</v>
      </c>
      <c r="W693" s="16"/>
      <c r="X693" s="14"/>
    </row>
    <row r="694" spans="1:24">
      <c r="A694" s="21">
        <v>46685</v>
      </c>
      <c r="B694" s="65" t="s">
        <v>1889</v>
      </c>
      <c r="W694" s="16"/>
      <c r="X694" s="14"/>
    </row>
    <row r="695" spans="1:24">
      <c r="A695" s="21">
        <v>46686</v>
      </c>
      <c r="B695" s="65" t="s">
        <v>1890</v>
      </c>
      <c r="W695" s="16"/>
      <c r="X695" s="14"/>
    </row>
    <row r="696" spans="1:24">
      <c r="A696" s="21">
        <v>46687</v>
      </c>
      <c r="B696" s="65" t="s">
        <v>1891</v>
      </c>
      <c r="W696" s="16"/>
      <c r="X696" s="14"/>
    </row>
    <row r="697" spans="1:24">
      <c r="A697" s="21">
        <v>46688</v>
      </c>
      <c r="B697" s="65" t="s">
        <v>1892</v>
      </c>
      <c r="W697" s="16"/>
      <c r="X697" s="14"/>
    </row>
    <row r="698" spans="1:24">
      <c r="A698" s="21">
        <v>46689</v>
      </c>
      <c r="B698" s="65" t="s">
        <v>1893</v>
      </c>
      <c r="W698" s="16"/>
      <c r="X698" s="14"/>
    </row>
    <row r="699" spans="1:24">
      <c r="A699" s="21">
        <v>46690</v>
      </c>
      <c r="B699" s="65" t="s">
        <v>1894</v>
      </c>
      <c r="W699" s="16"/>
      <c r="X699" s="14"/>
    </row>
    <row r="700" spans="1:24">
      <c r="A700" s="21">
        <v>46691</v>
      </c>
      <c r="B700" s="65" t="s">
        <v>1895</v>
      </c>
      <c r="W700" s="16"/>
      <c r="X700" s="14"/>
    </row>
    <row r="701" spans="1:24">
      <c r="A701" s="21">
        <v>46692</v>
      </c>
      <c r="B701" s="65" t="s">
        <v>1896</v>
      </c>
      <c r="W701" s="16"/>
      <c r="X701" s="14"/>
    </row>
    <row r="702" spans="1:24">
      <c r="A702" s="21">
        <v>46693</v>
      </c>
      <c r="B702" s="65" t="s">
        <v>1254</v>
      </c>
      <c r="W702" s="16"/>
      <c r="X702" s="14"/>
    </row>
    <row r="703" spans="1:24">
      <c r="A703" s="21">
        <v>46694</v>
      </c>
      <c r="B703" s="65" t="s">
        <v>1897</v>
      </c>
      <c r="W703" s="16"/>
      <c r="X703" s="14"/>
    </row>
    <row r="704" spans="1:24">
      <c r="A704" s="21">
        <v>46695</v>
      </c>
      <c r="B704" s="65" t="s">
        <v>1898</v>
      </c>
      <c r="W704" s="16"/>
      <c r="X704" s="14"/>
    </row>
    <row r="705" spans="1:24">
      <c r="A705" s="21">
        <v>46696</v>
      </c>
      <c r="B705" s="65" t="s">
        <v>1899</v>
      </c>
      <c r="W705" s="16"/>
      <c r="X705" s="14"/>
    </row>
    <row r="706" spans="1:24">
      <c r="A706" s="21">
        <v>46697</v>
      </c>
      <c r="B706" s="65" t="s">
        <v>1900</v>
      </c>
      <c r="W706" s="16"/>
      <c r="X706" s="14"/>
    </row>
    <row r="707" spans="1:24">
      <c r="A707" s="21">
        <v>46698</v>
      </c>
      <c r="B707" s="65" t="s">
        <v>1901</v>
      </c>
      <c r="W707" s="16"/>
      <c r="X707" s="14"/>
    </row>
    <row r="708" spans="1:24">
      <c r="A708" s="21">
        <v>46699</v>
      </c>
      <c r="B708" s="65" t="s">
        <v>1902</v>
      </c>
      <c r="W708" s="16"/>
      <c r="X708" s="14"/>
    </row>
    <row r="709" spans="1:24">
      <c r="A709" s="21">
        <v>46700</v>
      </c>
      <c r="B709" s="65" t="s">
        <v>1903</v>
      </c>
      <c r="W709" s="16"/>
      <c r="X709" s="14"/>
    </row>
    <row r="710" spans="1:24">
      <c r="A710" s="21">
        <v>46701</v>
      </c>
      <c r="B710" s="65" t="s">
        <v>1904</v>
      </c>
      <c r="W710" s="16"/>
      <c r="X710" s="14"/>
    </row>
    <row r="711" spans="1:24">
      <c r="A711" s="21">
        <v>46702</v>
      </c>
      <c r="B711" s="65" t="s">
        <v>1905</v>
      </c>
      <c r="W711" s="16"/>
      <c r="X711" s="14"/>
    </row>
    <row r="712" spans="1:24">
      <c r="A712" s="21">
        <v>46703</v>
      </c>
      <c r="B712" s="65" t="s">
        <v>1906</v>
      </c>
      <c r="W712" s="16"/>
      <c r="X712" s="14"/>
    </row>
    <row r="713" spans="1:24">
      <c r="A713" s="21">
        <v>46704</v>
      </c>
      <c r="B713" s="65" t="s">
        <v>1907</v>
      </c>
      <c r="W713" s="16"/>
      <c r="X713" s="14"/>
    </row>
    <row r="714" spans="1:24">
      <c r="A714" s="21">
        <v>46705</v>
      </c>
      <c r="B714" s="65" t="s">
        <v>1908</v>
      </c>
      <c r="W714" s="16"/>
      <c r="X714" s="14"/>
    </row>
    <row r="715" spans="1:24">
      <c r="A715" s="21">
        <v>46706</v>
      </c>
      <c r="B715" s="65" t="s">
        <v>1255</v>
      </c>
      <c r="W715" s="16"/>
      <c r="X715" s="14"/>
    </row>
    <row r="716" spans="1:24">
      <c r="A716" s="21">
        <v>46707</v>
      </c>
      <c r="B716" s="65" t="s">
        <v>1909</v>
      </c>
      <c r="W716" s="16"/>
      <c r="X716" s="14"/>
    </row>
    <row r="717" spans="1:24">
      <c r="A717" s="21">
        <v>46708</v>
      </c>
      <c r="B717" s="65" t="s">
        <v>1910</v>
      </c>
      <c r="W717" s="16"/>
      <c r="X717" s="14"/>
    </row>
    <row r="718" spans="1:24">
      <c r="A718" s="21">
        <v>46709</v>
      </c>
      <c r="B718" s="65" t="s">
        <v>1911</v>
      </c>
      <c r="W718" s="16"/>
      <c r="X718" s="14"/>
    </row>
    <row r="719" spans="1:24">
      <c r="A719" s="21">
        <v>46710</v>
      </c>
      <c r="B719" s="65" t="s">
        <v>1912</v>
      </c>
      <c r="W719" s="16"/>
      <c r="X719" s="14"/>
    </row>
    <row r="720" spans="1:24">
      <c r="A720" s="21">
        <v>46711</v>
      </c>
      <c r="B720" s="65" t="s">
        <v>1913</v>
      </c>
      <c r="W720" s="16"/>
      <c r="X720" s="14"/>
    </row>
    <row r="721" spans="1:24">
      <c r="A721" s="21">
        <v>46712</v>
      </c>
      <c r="B721" s="65" t="s">
        <v>1914</v>
      </c>
      <c r="W721" s="16"/>
      <c r="X721" s="14"/>
    </row>
    <row r="722" spans="1:24">
      <c r="A722" s="21">
        <v>46713</v>
      </c>
      <c r="B722" s="65" t="s">
        <v>1915</v>
      </c>
      <c r="W722" s="16"/>
      <c r="X722" s="14"/>
    </row>
    <row r="723" spans="1:24">
      <c r="A723" s="21">
        <v>46714</v>
      </c>
      <c r="B723" s="65" t="s">
        <v>1916</v>
      </c>
      <c r="W723" s="16"/>
      <c r="X723" s="14"/>
    </row>
    <row r="724" spans="1:24">
      <c r="A724" s="21">
        <v>46715</v>
      </c>
      <c r="B724" s="65" t="s">
        <v>1917</v>
      </c>
      <c r="W724" s="16"/>
      <c r="X724" s="14"/>
    </row>
    <row r="725" spans="1:24">
      <c r="A725" s="21">
        <v>46716</v>
      </c>
      <c r="B725" s="65" t="s">
        <v>1918</v>
      </c>
      <c r="W725" s="16"/>
      <c r="X725" s="14"/>
    </row>
    <row r="726" spans="1:24">
      <c r="A726" s="21">
        <v>46717</v>
      </c>
      <c r="B726" s="65" t="s">
        <v>1919</v>
      </c>
      <c r="W726" s="16"/>
      <c r="X726" s="14"/>
    </row>
    <row r="727" spans="1:24">
      <c r="A727" s="21">
        <v>46718</v>
      </c>
      <c r="B727" s="65" t="s">
        <v>1920</v>
      </c>
      <c r="W727" s="16"/>
      <c r="X727" s="14"/>
    </row>
    <row r="728" spans="1:24">
      <c r="A728" s="21">
        <v>46719</v>
      </c>
      <c r="B728" s="65" t="s">
        <v>1256</v>
      </c>
      <c r="W728" s="16"/>
      <c r="X728" s="14"/>
    </row>
    <row r="729" spans="1:24">
      <c r="A729" s="21">
        <v>46720</v>
      </c>
      <c r="B729" s="65" t="s">
        <v>1921</v>
      </c>
      <c r="W729" s="16"/>
      <c r="X729" s="14"/>
    </row>
    <row r="730" spans="1:24">
      <c r="A730" s="21">
        <v>46721</v>
      </c>
      <c r="B730" s="65" t="s">
        <v>1922</v>
      </c>
      <c r="W730" s="16"/>
      <c r="X730" s="14"/>
    </row>
    <row r="731" spans="1:24">
      <c r="A731" s="21">
        <v>46722</v>
      </c>
      <c r="B731" s="65" t="s">
        <v>1923</v>
      </c>
      <c r="W731" s="16"/>
      <c r="X731" s="14"/>
    </row>
    <row r="732" spans="1:24">
      <c r="A732" s="21">
        <v>46723</v>
      </c>
      <c r="B732" s="65" t="s">
        <v>1924</v>
      </c>
      <c r="W732" s="16"/>
      <c r="X732" s="14"/>
    </row>
    <row r="733" spans="1:24">
      <c r="A733" s="21">
        <v>46724</v>
      </c>
      <c r="B733" s="65" t="s">
        <v>1925</v>
      </c>
      <c r="W733" s="16"/>
      <c r="X733" s="14"/>
    </row>
    <row r="734" spans="1:24">
      <c r="A734" s="21">
        <v>46725</v>
      </c>
      <c r="B734" s="65" t="s">
        <v>1926</v>
      </c>
      <c r="W734" s="16"/>
      <c r="X734" s="14"/>
    </row>
    <row r="735" spans="1:24">
      <c r="A735" s="21">
        <v>46726</v>
      </c>
      <c r="B735" s="65" t="s">
        <v>1927</v>
      </c>
      <c r="W735" s="16"/>
      <c r="X735" s="14"/>
    </row>
    <row r="736" spans="1:24">
      <c r="A736" s="21">
        <v>46727</v>
      </c>
      <c r="B736" s="65" t="s">
        <v>1928</v>
      </c>
      <c r="W736" s="16"/>
      <c r="X736" s="14"/>
    </row>
    <row r="737" spans="1:24">
      <c r="A737" s="21">
        <v>46728</v>
      </c>
      <c r="B737" s="65" t="s">
        <v>1929</v>
      </c>
      <c r="W737" s="16"/>
      <c r="X737" s="14"/>
    </row>
    <row r="738" spans="1:24">
      <c r="A738" s="21">
        <v>46729</v>
      </c>
      <c r="B738" s="65" t="s">
        <v>1930</v>
      </c>
      <c r="W738" s="16"/>
      <c r="X738" s="14"/>
    </row>
    <row r="739" spans="1:24">
      <c r="A739" s="21">
        <v>46730</v>
      </c>
      <c r="B739" s="65" t="s">
        <v>1931</v>
      </c>
      <c r="W739" s="16"/>
      <c r="X739" s="14"/>
    </row>
    <row r="740" spans="1:24">
      <c r="A740" s="21">
        <v>46731</v>
      </c>
      <c r="B740" s="65" t="s">
        <v>1932</v>
      </c>
      <c r="W740" s="16"/>
      <c r="X740" s="14"/>
    </row>
    <row r="741" spans="1:24">
      <c r="A741" s="21">
        <v>46732</v>
      </c>
      <c r="B741" s="65" t="s">
        <v>1257</v>
      </c>
      <c r="W741" s="16"/>
      <c r="X741" s="14"/>
    </row>
    <row r="742" spans="1:24">
      <c r="A742" s="21">
        <v>46733</v>
      </c>
      <c r="B742" s="65" t="s">
        <v>1933</v>
      </c>
      <c r="W742" s="16"/>
      <c r="X742" s="14"/>
    </row>
    <row r="743" spans="1:24">
      <c r="A743" s="21">
        <v>46734</v>
      </c>
      <c r="B743" s="65" t="s">
        <v>1934</v>
      </c>
      <c r="W743" s="16"/>
      <c r="X743" s="14"/>
    </row>
    <row r="744" spans="1:24">
      <c r="A744" s="21">
        <v>46735</v>
      </c>
      <c r="B744" s="65" t="s">
        <v>1935</v>
      </c>
      <c r="W744" s="16"/>
      <c r="X744" s="14"/>
    </row>
    <row r="745" spans="1:24">
      <c r="A745" s="21">
        <v>46736</v>
      </c>
      <c r="B745" s="65" t="s">
        <v>1936</v>
      </c>
      <c r="W745" s="16"/>
      <c r="X745" s="14"/>
    </row>
    <row r="746" spans="1:24">
      <c r="A746" s="21">
        <v>46737</v>
      </c>
      <c r="B746" s="65" t="s">
        <v>1937</v>
      </c>
      <c r="W746" s="16"/>
      <c r="X746" s="14"/>
    </row>
    <row r="747" spans="1:24">
      <c r="A747" s="21">
        <v>46738</v>
      </c>
      <c r="B747" s="65" t="s">
        <v>1938</v>
      </c>
      <c r="W747" s="16"/>
      <c r="X747" s="14"/>
    </row>
    <row r="748" spans="1:24">
      <c r="A748" s="21">
        <v>46739</v>
      </c>
      <c r="B748" s="65" t="s">
        <v>1939</v>
      </c>
      <c r="W748" s="16"/>
      <c r="X748" s="14"/>
    </row>
    <row r="749" spans="1:24">
      <c r="A749" s="21">
        <v>46740</v>
      </c>
      <c r="B749" s="65" t="s">
        <v>1940</v>
      </c>
      <c r="W749" s="16"/>
      <c r="X749" s="14"/>
    </row>
    <row r="750" spans="1:24">
      <c r="A750" s="21">
        <v>46741</v>
      </c>
      <c r="B750" s="65" t="s">
        <v>1941</v>
      </c>
      <c r="W750" s="16"/>
      <c r="X750" s="14"/>
    </row>
    <row r="751" spans="1:24">
      <c r="A751" s="21">
        <v>46742</v>
      </c>
      <c r="B751" s="65" t="s">
        <v>1942</v>
      </c>
      <c r="W751" s="16"/>
      <c r="X751" s="14"/>
    </row>
    <row r="752" spans="1:24">
      <c r="A752" s="21">
        <v>46743</v>
      </c>
      <c r="B752" s="65" t="s">
        <v>1943</v>
      </c>
      <c r="W752" s="16"/>
      <c r="X752" s="14"/>
    </row>
    <row r="753" spans="1:24">
      <c r="A753" s="21">
        <v>46744</v>
      </c>
      <c r="B753" s="65" t="s">
        <v>1944</v>
      </c>
      <c r="W753" s="16"/>
      <c r="X753" s="14"/>
    </row>
    <row r="754" spans="1:24">
      <c r="A754" s="21">
        <v>46745</v>
      </c>
      <c r="B754" s="65" t="s">
        <v>1258</v>
      </c>
      <c r="W754" s="16"/>
      <c r="X754" s="14"/>
    </row>
    <row r="755" spans="1:24">
      <c r="A755" s="21">
        <v>46746</v>
      </c>
      <c r="B755" s="65" t="s">
        <v>1945</v>
      </c>
      <c r="W755" s="16"/>
      <c r="X755" s="14"/>
    </row>
    <row r="756" spans="1:24">
      <c r="A756" s="21">
        <v>46747</v>
      </c>
      <c r="B756" s="65" t="s">
        <v>1946</v>
      </c>
      <c r="W756" s="16"/>
      <c r="X756" s="14"/>
    </row>
    <row r="757" spans="1:24">
      <c r="A757" s="21">
        <v>46748</v>
      </c>
      <c r="B757" s="65" t="s">
        <v>1947</v>
      </c>
      <c r="W757" s="16"/>
      <c r="X757" s="14"/>
    </row>
    <row r="758" spans="1:24">
      <c r="A758" s="21">
        <v>46749</v>
      </c>
      <c r="B758" s="65" t="s">
        <v>1948</v>
      </c>
      <c r="W758" s="16"/>
      <c r="X758" s="14"/>
    </row>
    <row r="759" spans="1:24">
      <c r="A759" s="21">
        <v>46750</v>
      </c>
      <c r="B759" s="65" t="s">
        <v>1949</v>
      </c>
      <c r="W759" s="16"/>
      <c r="X759" s="14"/>
    </row>
    <row r="760" spans="1:24">
      <c r="A760" s="21">
        <v>46751</v>
      </c>
      <c r="B760" s="65" t="s">
        <v>1950</v>
      </c>
      <c r="W760" s="16"/>
      <c r="X760" s="14"/>
    </row>
    <row r="761" spans="1:24">
      <c r="A761" s="21">
        <v>46752</v>
      </c>
      <c r="B761" s="65" t="s">
        <v>1951</v>
      </c>
      <c r="W761" s="16"/>
      <c r="X761" s="14"/>
    </row>
    <row r="762" spans="1:24">
      <c r="B762" s="65" t="s">
        <v>1952</v>
      </c>
      <c r="W762" s="16"/>
      <c r="X762" s="14"/>
    </row>
    <row r="763" spans="1:24">
      <c r="B763" s="65" t="s">
        <v>1953</v>
      </c>
      <c r="W763" s="16"/>
      <c r="X763" s="14"/>
    </row>
    <row r="764" spans="1:24">
      <c r="B764" s="65" t="s">
        <v>1954</v>
      </c>
      <c r="W764" s="16"/>
      <c r="X764" s="14"/>
    </row>
    <row r="765" spans="1:24">
      <c r="B765" s="65" t="s">
        <v>1955</v>
      </c>
      <c r="W765" s="16"/>
      <c r="X765" s="14"/>
    </row>
    <row r="766" spans="1:24">
      <c r="B766" s="65" t="s">
        <v>1956</v>
      </c>
      <c r="W766" s="16"/>
      <c r="X766" s="14"/>
    </row>
    <row r="767" spans="1:24">
      <c r="B767" s="65" t="s">
        <v>1259</v>
      </c>
      <c r="W767" s="16"/>
      <c r="X767" s="14"/>
    </row>
    <row r="768" spans="1:24">
      <c r="B768" s="65" t="s">
        <v>1957</v>
      </c>
      <c r="W768" s="16"/>
      <c r="X768" s="14"/>
    </row>
    <row r="769" spans="2:24">
      <c r="B769" s="65" t="s">
        <v>1958</v>
      </c>
      <c r="W769" s="16"/>
      <c r="X769" s="14"/>
    </row>
    <row r="770" spans="2:24">
      <c r="B770" s="65" t="s">
        <v>1959</v>
      </c>
      <c r="W770" s="16"/>
      <c r="X770" s="14"/>
    </row>
    <row r="771" spans="2:24">
      <c r="B771" s="65" t="s">
        <v>1960</v>
      </c>
      <c r="W771" s="16"/>
      <c r="X771" s="14"/>
    </row>
    <row r="772" spans="2:24">
      <c r="B772" s="65" t="s">
        <v>1961</v>
      </c>
      <c r="W772" s="16"/>
      <c r="X772" s="14"/>
    </row>
    <row r="773" spans="2:24">
      <c r="B773" s="65" t="s">
        <v>1962</v>
      </c>
      <c r="W773" s="16"/>
      <c r="X773" s="14"/>
    </row>
    <row r="774" spans="2:24">
      <c r="B774" s="65" t="s">
        <v>1963</v>
      </c>
      <c r="W774" s="16"/>
      <c r="X774" s="14"/>
    </row>
    <row r="775" spans="2:24">
      <c r="B775" s="65" t="s">
        <v>1964</v>
      </c>
      <c r="W775" s="16"/>
      <c r="X775" s="14"/>
    </row>
    <row r="776" spans="2:24">
      <c r="B776" s="65" t="s">
        <v>1965</v>
      </c>
      <c r="W776" s="16"/>
      <c r="X776" s="14"/>
    </row>
    <row r="777" spans="2:24">
      <c r="B777" s="65" t="s">
        <v>1966</v>
      </c>
      <c r="W777" s="16"/>
      <c r="X777" s="14"/>
    </row>
    <row r="778" spans="2:24">
      <c r="B778" s="65" t="s">
        <v>1967</v>
      </c>
      <c r="W778" s="16"/>
      <c r="X778" s="14"/>
    </row>
    <row r="779" spans="2:24">
      <c r="B779" s="65" t="s">
        <v>1968</v>
      </c>
      <c r="W779" s="16"/>
      <c r="X779" s="14"/>
    </row>
    <row r="780" spans="2:24">
      <c r="B780" s="65" t="s">
        <v>1260</v>
      </c>
      <c r="W780" s="16"/>
      <c r="X780" s="14"/>
    </row>
    <row r="781" spans="2:24">
      <c r="B781" s="65" t="s">
        <v>1969</v>
      </c>
      <c r="W781" s="16"/>
      <c r="X781" s="14"/>
    </row>
    <row r="782" spans="2:24">
      <c r="B782" s="65" t="s">
        <v>1970</v>
      </c>
      <c r="W782" s="16"/>
      <c r="X782" s="14"/>
    </row>
    <row r="783" spans="2:24">
      <c r="B783" s="65" t="s">
        <v>1971</v>
      </c>
      <c r="W783" s="16"/>
      <c r="X783" s="14"/>
    </row>
    <row r="784" spans="2:24">
      <c r="B784" s="65" t="s">
        <v>1972</v>
      </c>
      <c r="W784" s="16"/>
      <c r="X784" s="14"/>
    </row>
    <row r="785" spans="2:24">
      <c r="B785" s="65" t="s">
        <v>1973</v>
      </c>
      <c r="W785" s="16"/>
      <c r="X785" s="14"/>
    </row>
    <row r="786" spans="2:24">
      <c r="B786" s="65" t="s">
        <v>1974</v>
      </c>
      <c r="W786" s="16"/>
      <c r="X786" s="14"/>
    </row>
    <row r="787" spans="2:24">
      <c r="B787" s="65" t="s">
        <v>1975</v>
      </c>
      <c r="W787" s="16"/>
      <c r="X787" s="14"/>
    </row>
    <row r="788" spans="2:24">
      <c r="B788" s="65" t="s">
        <v>1976</v>
      </c>
      <c r="W788" s="16"/>
      <c r="X788" s="14"/>
    </row>
    <row r="789" spans="2:24">
      <c r="B789" s="65" t="s">
        <v>1977</v>
      </c>
      <c r="W789" s="16"/>
      <c r="X789" s="14"/>
    </row>
    <row r="790" spans="2:24">
      <c r="B790" s="65" t="s">
        <v>1978</v>
      </c>
      <c r="W790" s="16"/>
      <c r="X790" s="14"/>
    </row>
    <row r="791" spans="2:24">
      <c r="B791" s="65" t="s">
        <v>1979</v>
      </c>
      <c r="W791" s="16"/>
      <c r="X791" s="14"/>
    </row>
    <row r="792" spans="2:24">
      <c r="B792" s="65" t="s">
        <v>1980</v>
      </c>
      <c r="W792" s="16"/>
      <c r="X792" s="14"/>
    </row>
    <row r="793" spans="2:24">
      <c r="B793" s="65" t="s">
        <v>1261</v>
      </c>
      <c r="W793" s="16"/>
      <c r="X793" s="14"/>
    </row>
    <row r="794" spans="2:24">
      <c r="B794" s="65" t="s">
        <v>1981</v>
      </c>
      <c r="W794" s="16"/>
      <c r="X794" s="14"/>
    </row>
    <row r="795" spans="2:24">
      <c r="B795" s="65" t="s">
        <v>1982</v>
      </c>
      <c r="W795" s="16"/>
      <c r="X795" s="14"/>
    </row>
    <row r="796" spans="2:24">
      <c r="B796" s="65" t="s">
        <v>1983</v>
      </c>
      <c r="W796" s="16"/>
      <c r="X796" s="14"/>
    </row>
    <row r="797" spans="2:24">
      <c r="B797" s="65" t="s">
        <v>1984</v>
      </c>
      <c r="W797" s="16"/>
      <c r="X797" s="14"/>
    </row>
    <row r="798" spans="2:24">
      <c r="B798" s="65" t="s">
        <v>1985</v>
      </c>
      <c r="W798" s="16"/>
      <c r="X798" s="14"/>
    </row>
    <row r="799" spans="2:24">
      <c r="B799" s="65" t="s">
        <v>1986</v>
      </c>
      <c r="W799" s="16"/>
      <c r="X799" s="14"/>
    </row>
    <row r="800" spans="2:24">
      <c r="B800" s="65" t="s">
        <v>1987</v>
      </c>
      <c r="W800" s="16"/>
      <c r="X800" s="14"/>
    </row>
    <row r="801" spans="2:24">
      <c r="B801" s="65" t="s">
        <v>1988</v>
      </c>
      <c r="W801" s="16"/>
      <c r="X801" s="14"/>
    </row>
    <row r="802" spans="2:24">
      <c r="B802" s="65" t="s">
        <v>1989</v>
      </c>
      <c r="W802" s="16"/>
      <c r="X802" s="14"/>
    </row>
    <row r="803" spans="2:24">
      <c r="B803" s="65" t="s">
        <v>1990</v>
      </c>
      <c r="W803" s="16"/>
      <c r="X803" s="14"/>
    </row>
    <row r="804" spans="2:24">
      <c r="B804" s="65" t="s">
        <v>1991</v>
      </c>
      <c r="W804" s="16"/>
      <c r="X804" s="14"/>
    </row>
    <row r="805" spans="2:24">
      <c r="B805" s="65" t="s">
        <v>1992</v>
      </c>
      <c r="W805" s="16"/>
      <c r="X805" s="14"/>
    </row>
    <row r="806" spans="2:24">
      <c r="B806" s="65" t="s">
        <v>1262</v>
      </c>
      <c r="W806" s="16"/>
      <c r="X806" s="14"/>
    </row>
    <row r="807" spans="2:24">
      <c r="B807" s="65" t="s">
        <v>1993</v>
      </c>
      <c r="W807" s="16"/>
      <c r="X807" s="14"/>
    </row>
    <row r="808" spans="2:24">
      <c r="B808" s="65" t="s">
        <v>1994</v>
      </c>
      <c r="W808" s="16"/>
      <c r="X808" s="14"/>
    </row>
    <row r="809" spans="2:24">
      <c r="B809" s="65" t="s">
        <v>1995</v>
      </c>
      <c r="W809" s="16"/>
      <c r="X809" s="14"/>
    </row>
    <row r="810" spans="2:24">
      <c r="B810" s="65" t="s">
        <v>1996</v>
      </c>
      <c r="W810" s="16"/>
      <c r="X810" s="14"/>
    </row>
    <row r="811" spans="2:24">
      <c r="B811" s="65" t="s">
        <v>1997</v>
      </c>
      <c r="W811" s="16"/>
      <c r="X811" s="14"/>
    </row>
    <row r="812" spans="2:24">
      <c r="B812" s="65" t="s">
        <v>1998</v>
      </c>
      <c r="W812" s="16"/>
      <c r="X812" s="14"/>
    </row>
    <row r="813" spans="2:24">
      <c r="B813" s="65" t="s">
        <v>1999</v>
      </c>
      <c r="W813" s="16"/>
      <c r="X813" s="14"/>
    </row>
    <row r="814" spans="2:24">
      <c r="B814" s="65" t="s">
        <v>2000</v>
      </c>
      <c r="W814" s="16"/>
      <c r="X814" s="14"/>
    </row>
    <row r="815" spans="2:24">
      <c r="B815" s="65" t="s">
        <v>2001</v>
      </c>
      <c r="W815" s="16"/>
      <c r="X815" s="14"/>
    </row>
    <row r="816" spans="2:24">
      <c r="B816" s="65" t="s">
        <v>2002</v>
      </c>
      <c r="W816" s="16"/>
      <c r="X816" s="14"/>
    </row>
    <row r="817" spans="2:24">
      <c r="B817" s="65" t="s">
        <v>2003</v>
      </c>
      <c r="W817" s="16"/>
      <c r="X817" s="14"/>
    </row>
    <row r="818" spans="2:24">
      <c r="B818" s="65" t="s">
        <v>2004</v>
      </c>
      <c r="W818" s="16"/>
      <c r="X818" s="14"/>
    </row>
    <row r="819" spans="2:24">
      <c r="B819" s="65" t="s">
        <v>1263</v>
      </c>
      <c r="X819" s="14"/>
    </row>
    <row r="820" spans="2:24">
      <c r="B820" s="65" t="s">
        <v>2005</v>
      </c>
      <c r="X820" s="14"/>
    </row>
    <row r="821" spans="2:24">
      <c r="B821" s="65" t="s">
        <v>2006</v>
      </c>
      <c r="X821" s="14"/>
    </row>
    <row r="822" spans="2:24">
      <c r="B822" s="65" t="s">
        <v>2007</v>
      </c>
      <c r="X822" s="14"/>
    </row>
    <row r="823" spans="2:24">
      <c r="B823" s="65" t="s">
        <v>2008</v>
      </c>
      <c r="X823" s="14"/>
    </row>
    <row r="824" spans="2:24">
      <c r="B824" s="65" t="s">
        <v>2009</v>
      </c>
    </row>
    <row r="825" spans="2:24">
      <c r="B825" s="65" t="s">
        <v>2010</v>
      </c>
    </row>
    <row r="826" spans="2:24">
      <c r="B826" s="65" t="s">
        <v>2011</v>
      </c>
    </row>
    <row r="827" spans="2:24">
      <c r="B827" s="65" t="s">
        <v>2012</v>
      </c>
    </row>
    <row r="828" spans="2:24">
      <c r="B828" s="65" t="s">
        <v>2013</v>
      </c>
    </row>
    <row r="829" spans="2:24">
      <c r="B829" s="65" t="s">
        <v>2014</v>
      </c>
    </row>
    <row r="830" spans="2:24">
      <c r="B830" s="65" t="s">
        <v>2015</v>
      </c>
    </row>
    <row r="831" spans="2:24">
      <c r="B831" s="65" t="s">
        <v>2016</v>
      </c>
    </row>
    <row r="832" spans="2:24">
      <c r="B832" s="65" t="s">
        <v>1264</v>
      </c>
    </row>
    <row r="833" spans="2:2">
      <c r="B833" s="65" t="s">
        <v>2017</v>
      </c>
    </row>
    <row r="834" spans="2:2">
      <c r="B834" s="65" t="s">
        <v>2018</v>
      </c>
    </row>
    <row r="835" spans="2:2">
      <c r="B835" s="65" t="s">
        <v>2019</v>
      </c>
    </row>
    <row r="836" spans="2:2">
      <c r="B836" s="65" t="s">
        <v>2020</v>
      </c>
    </row>
    <row r="837" spans="2:2">
      <c r="B837" s="65" t="s">
        <v>2021</v>
      </c>
    </row>
    <row r="838" spans="2:2">
      <c r="B838" s="65" t="s">
        <v>2517</v>
      </c>
    </row>
    <row r="839" spans="2:2">
      <c r="B839" s="65" t="s">
        <v>2060</v>
      </c>
    </row>
    <row r="855" spans="3:3">
      <c r="C855" s="65"/>
    </row>
    <row r="856" spans="3:3">
      <c r="C856" s="65"/>
    </row>
    <row r="857" spans="3:3">
      <c r="C857" s="65"/>
    </row>
    <row r="858" spans="3:3">
      <c r="C858" s="65"/>
    </row>
    <row r="859" spans="3:3">
      <c r="C859" s="65"/>
    </row>
    <row r="860" spans="3:3">
      <c r="C860" s="65"/>
    </row>
    <row r="861" spans="3:3">
      <c r="C861" s="65"/>
    </row>
    <row r="862" spans="3:3">
      <c r="C862" s="65"/>
    </row>
    <row r="863" spans="3:3">
      <c r="C863" s="65"/>
    </row>
    <row r="864" spans="3:3">
      <c r="C864" s="65"/>
    </row>
    <row r="865" spans="3:3">
      <c r="C865" s="65"/>
    </row>
    <row r="866" spans="3:3">
      <c r="C866" s="65"/>
    </row>
    <row r="867" spans="3:3">
      <c r="C867" s="65"/>
    </row>
    <row r="868" spans="3:3">
      <c r="C868" s="65"/>
    </row>
    <row r="869" spans="3:3">
      <c r="C869" s="65"/>
    </row>
    <row r="870" spans="3:3">
      <c r="C870" s="65"/>
    </row>
    <row r="871" spans="3:3">
      <c r="C871" s="65"/>
    </row>
    <row r="872" spans="3:3">
      <c r="C872" s="65"/>
    </row>
    <row r="873" spans="3:3">
      <c r="C873" s="65"/>
    </row>
    <row r="874" spans="3:3">
      <c r="C874" s="65"/>
    </row>
    <row r="875" spans="3:3">
      <c r="C875" s="65"/>
    </row>
    <row r="876" spans="3:3">
      <c r="C876" s="65"/>
    </row>
    <row r="877" spans="3:3">
      <c r="C877" s="65"/>
    </row>
    <row r="878" spans="3:3">
      <c r="C878" s="65"/>
    </row>
    <row r="879" spans="3:3">
      <c r="C879" s="65"/>
    </row>
    <row r="880" spans="3:3">
      <c r="C880" s="65"/>
    </row>
    <row r="881" spans="3:3">
      <c r="C881" s="65"/>
    </row>
    <row r="882" spans="3:3">
      <c r="C882" s="65"/>
    </row>
    <row r="883" spans="3:3">
      <c r="C883" s="65"/>
    </row>
    <row r="884" spans="3:3">
      <c r="C884" s="65"/>
    </row>
    <row r="885" spans="3:3">
      <c r="C885" s="65"/>
    </row>
    <row r="886" spans="3:3">
      <c r="C886" s="65"/>
    </row>
    <row r="887" spans="3:3">
      <c r="C887" s="65"/>
    </row>
    <row r="888" spans="3:3">
      <c r="C888" s="65"/>
    </row>
    <row r="889" spans="3:3">
      <c r="C889" s="65"/>
    </row>
    <row r="890" spans="3:3">
      <c r="C890" s="65"/>
    </row>
    <row r="891" spans="3:3">
      <c r="C891" s="65"/>
    </row>
    <row r="892" spans="3:3">
      <c r="C892" s="65"/>
    </row>
    <row r="893" spans="3:3">
      <c r="C893" s="65"/>
    </row>
    <row r="894" spans="3:3">
      <c r="C894" s="65"/>
    </row>
    <row r="895" spans="3:3">
      <c r="C895" s="65"/>
    </row>
    <row r="896" spans="3:3">
      <c r="C896" s="65"/>
    </row>
    <row r="897" spans="3:3">
      <c r="C897" s="65"/>
    </row>
    <row r="898" spans="3:3">
      <c r="C898" s="65"/>
    </row>
    <row r="899" spans="3:3">
      <c r="C899" s="65"/>
    </row>
    <row r="900" spans="3:3">
      <c r="C900" s="65"/>
    </row>
    <row r="901" spans="3:3">
      <c r="C901" s="65"/>
    </row>
    <row r="902" spans="3:3">
      <c r="C902" s="65"/>
    </row>
    <row r="903" spans="3:3">
      <c r="C903" s="65"/>
    </row>
    <row r="904" spans="3:3">
      <c r="C904" s="65"/>
    </row>
    <row r="905" spans="3:3">
      <c r="C905" s="65"/>
    </row>
    <row r="906" spans="3:3">
      <c r="C906" s="65"/>
    </row>
    <row r="907" spans="3:3">
      <c r="C907" s="65"/>
    </row>
    <row r="908" spans="3:3">
      <c r="C908" s="65"/>
    </row>
    <row r="909" spans="3:3">
      <c r="C909" s="65"/>
    </row>
    <row r="910" spans="3:3">
      <c r="C910" s="65"/>
    </row>
    <row r="911" spans="3:3">
      <c r="C911" s="65"/>
    </row>
    <row r="912" spans="3:3">
      <c r="C912" s="65"/>
    </row>
    <row r="913" spans="3:3">
      <c r="C913" s="65"/>
    </row>
    <row r="914" spans="3:3">
      <c r="C914" s="65"/>
    </row>
    <row r="915" spans="3:3">
      <c r="C915" s="65"/>
    </row>
    <row r="916" spans="3:3">
      <c r="C916" s="65"/>
    </row>
    <row r="917" spans="3:3">
      <c r="C917" s="65"/>
    </row>
    <row r="918" spans="3:3">
      <c r="C918" s="65"/>
    </row>
    <row r="919" spans="3:3">
      <c r="C919" s="65"/>
    </row>
    <row r="920" spans="3:3">
      <c r="C920" s="65"/>
    </row>
    <row r="921" spans="3:3">
      <c r="C921" s="65"/>
    </row>
    <row r="922" spans="3:3">
      <c r="C922" s="65"/>
    </row>
    <row r="923" spans="3:3">
      <c r="C923" s="65"/>
    </row>
    <row r="924" spans="3:3">
      <c r="C924" s="65"/>
    </row>
    <row r="925" spans="3:3">
      <c r="C925" s="65"/>
    </row>
    <row r="926" spans="3:3">
      <c r="C926" s="65"/>
    </row>
    <row r="927" spans="3:3">
      <c r="C927" s="65"/>
    </row>
    <row r="928" spans="3:3">
      <c r="C928" s="65"/>
    </row>
    <row r="929" spans="3:3">
      <c r="C929" s="65"/>
    </row>
    <row r="930" spans="3:3">
      <c r="C930" s="65"/>
    </row>
  </sheetData>
  <mergeCells count="114">
    <mergeCell ref="F70:G70"/>
    <mergeCell ref="F67:G67"/>
    <mergeCell ref="F69:G69"/>
    <mergeCell ref="F66:G66"/>
    <mergeCell ref="E53:E59"/>
    <mergeCell ref="F56:G56"/>
    <mergeCell ref="F59:G59"/>
    <mergeCell ref="F53:G53"/>
    <mergeCell ref="F83:G83"/>
    <mergeCell ref="F78:G78"/>
    <mergeCell ref="F79:G79"/>
    <mergeCell ref="F82:G82"/>
    <mergeCell ref="F81:G81"/>
    <mergeCell ref="F80:G80"/>
    <mergeCell ref="F61:G61"/>
    <mergeCell ref="F64:G64"/>
    <mergeCell ref="F57:G57"/>
    <mergeCell ref="F77:G77"/>
    <mergeCell ref="F73:G73"/>
    <mergeCell ref="F74:G74"/>
    <mergeCell ref="F76:G76"/>
    <mergeCell ref="F75:G75"/>
    <mergeCell ref="F65:G65"/>
    <mergeCell ref="F62:G62"/>
    <mergeCell ref="G1:T1"/>
    <mergeCell ref="M3:M11"/>
    <mergeCell ref="T3:T11"/>
    <mergeCell ref="G10:L10"/>
    <mergeCell ref="N10:S10"/>
    <mergeCell ref="F63:G63"/>
    <mergeCell ref="F71:G71"/>
    <mergeCell ref="F72:G72"/>
    <mergeCell ref="F68:G68"/>
    <mergeCell ref="N3:N9"/>
    <mergeCell ref="O3:S8"/>
    <mergeCell ref="F54:G54"/>
    <mergeCell ref="G49:H49"/>
    <mergeCell ref="F31:G31"/>
    <mergeCell ref="G21:H21"/>
    <mergeCell ref="H34:I34"/>
    <mergeCell ref="H29:I29"/>
    <mergeCell ref="F26:G26"/>
    <mergeCell ref="F44:G44"/>
    <mergeCell ref="F32:G32"/>
    <mergeCell ref="H36:I36"/>
    <mergeCell ref="G40:H40"/>
    <mergeCell ref="G39:H39"/>
    <mergeCell ref="K36:L36"/>
    <mergeCell ref="A16:B16"/>
    <mergeCell ref="A1:E1"/>
    <mergeCell ref="A2:C2"/>
    <mergeCell ref="B14:C14"/>
    <mergeCell ref="B10:C10"/>
    <mergeCell ref="B11:C11"/>
    <mergeCell ref="B12:C12"/>
    <mergeCell ref="B13:C13"/>
    <mergeCell ref="B4:C4"/>
    <mergeCell ref="D2:E2"/>
    <mergeCell ref="B7:C7"/>
    <mergeCell ref="B6:C6"/>
    <mergeCell ref="B9:C9"/>
    <mergeCell ref="B3:C3"/>
    <mergeCell ref="B5:C5"/>
    <mergeCell ref="B8:C8"/>
    <mergeCell ref="F58:G58"/>
    <mergeCell ref="K26:L26"/>
    <mergeCell ref="M23:N23"/>
    <mergeCell ref="O29:P29"/>
    <mergeCell ref="O30:P30"/>
    <mergeCell ref="O37:P37"/>
    <mergeCell ref="O38:P38"/>
    <mergeCell ref="G50:H50"/>
    <mergeCell ref="G51:H51"/>
    <mergeCell ref="F45:G45"/>
    <mergeCell ref="G48:H48"/>
    <mergeCell ref="F43:G43"/>
    <mergeCell ref="F55:G55"/>
    <mergeCell ref="K43:L43"/>
    <mergeCell ref="G38:H38"/>
    <mergeCell ref="O36:P36"/>
    <mergeCell ref="M39:N39"/>
    <mergeCell ref="O46:P46"/>
    <mergeCell ref="F35:G35"/>
    <mergeCell ref="G28:H28"/>
    <mergeCell ref="F46:G46"/>
    <mergeCell ref="O26:P26"/>
    <mergeCell ref="G33:H33"/>
    <mergeCell ref="K37:L37"/>
    <mergeCell ref="V16:Z16"/>
    <mergeCell ref="F42:G42"/>
    <mergeCell ref="H52:I52"/>
    <mergeCell ref="G41:H41"/>
    <mergeCell ref="K30:L30"/>
    <mergeCell ref="F47:G47"/>
    <mergeCell ref="M26:N26"/>
    <mergeCell ref="F20:G20"/>
    <mergeCell ref="M17:N17"/>
    <mergeCell ref="O17:P17"/>
    <mergeCell ref="K16:P16"/>
    <mergeCell ref="G23:H23"/>
    <mergeCell ref="F19:G19"/>
    <mergeCell ref="K17:L17"/>
    <mergeCell ref="F17:G17"/>
    <mergeCell ref="G22:H22"/>
    <mergeCell ref="H30:I30"/>
    <mergeCell ref="G3:G9"/>
    <mergeCell ref="H3:L8"/>
    <mergeCell ref="G27:H27"/>
    <mergeCell ref="G25:H25"/>
    <mergeCell ref="G24:H24"/>
    <mergeCell ref="R44:S44"/>
    <mergeCell ref="R22:T22"/>
    <mergeCell ref="G37:H37"/>
    <mergeCell ref="E16:G16"/>
  </mergeCells>
  <phoneticPr fontId="4" type="noConversion"/>
  <pageMargins left="0.7" right="0.7" top="0.75" bottom="0.75" header="0.3" footer="0.3"/>
  <pageSetup paperSize="9" orientation="portrait" horizontalDpi="200" verticalDpi="200" r:id="rId1"/>
  <headerFooter>
    <oddHeader>&amp;C&amp;"Calibri"&amp;10&amp;K4A569E Internal&amp;1#_x000D_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D59"/>
  <sheetViews>
    <sheetView topLeftCell="A16" zoomScale="120" zoomScaleNormal="120" workbookViewId="0">
      <selection activeCell="L27" sqref="L27"/>
    </sheetView>
  </sheetViews>
  <sheetFormatPr baseColWidth="10" defaultColWidth="9" defaultRowHeight="14"/>
  <cols>
    <col min="1" max="1" width="19.83203125" bestFit="1" customWidth="1"/>
    <col min="2" max="2" width="15" bestFit="1" customWidth="1"/>
    <col min="3" max="10" width="12.83203125" customWidth="1"/>
    <col min="11" max="11" width="12.83203125" style="18" customWidth="1"/>
    <col min="12" max="12" width="12.83203125" customWidth="1"/>
    <col min="13" max="13" width="12" bestFit="1" customWidth="1"/>
    <col min="14" max="14" width="12.6640625" bestFit="1" customWidth="1"/>
    <col min="15" max="15" width="2.83203125" customWidth="1"/>
    <col min="16" max="17" width="13.6640625" bestFit="1" customWidth="1"/>
    <col min="18" max="18" width="10.1640625" bestFit="1" customWidth="1"/>
    <col min="19" max="19" width="12.5" customWidth="1"/>
    <col min="20" max="20" width="12.5" bestFit="1" customWidth="1"/>
    <col min="21" max="21" width="13" bestFit="1" customWidth="1"/>
    <col min="22" max="22" width="14.1640625" bestFit="1" customWidth="1"/>
    <col min="23" max="23" width="10.1640625" bestFit="1" customWidth="1"/>
    <col min="24" max="29" width="12.83203125" bestFit="1" customWidth="1"/>
  </cols>
  <sheetData>
    <row r="1" spans="1:30" ht="15" customHeight="1">
      <c r="A1" s="293" t="s">
        <v>168</v>
      </c>
      <c r="B1" s="293"/>
      <c r="C1" s="108"/>
      <c r="D1" s="296" t="s">
        <v>169</v>
      </c>
      <c r="E1" s="298"/>
      <c r="F1" s="298"/>
      <c r="G1" s="298"/>
      <c r="H1" s="298"/>
      <c r="I1" s="298"/>
      <c r="J1" s="298"/>
      <c r="K1" s="297"/>
      <c r="L1" s="22"/>
      <c r="N1" s="303" t="s">
        <v>135</v>
      </c>
      <c r="O1" s="304"/>
      <c r="P1" s="304"/>
      <c r="Q1" s="305"/>
      <c r="R1" s="110"/>
      <c r="S1" s="296" t="s">
        <v>7</v>
      </c>
      <c r="T1" s="298"/>
      <c r="U1" s="297"/>
      <c r="V1" s="1"/>
    </row>
    <row r="2" spans="1:30" ht="15" customHeight="1" thickBot="1">
      <c r="A2" s="105" t="s">
        <v>4</v>
      </c>
      <c r="B2" s="106">
        <f ca="1">TODAY() + 1</f>
        <v>46010</v>
      </c>
      <c r="C2" s="109"/>
      <c r="D2" s="24" t="s">
        <v>121</v>
      </c>
      <c r="E2" s="24" t="s">
        <v>117</v>
      </c>
      <c r="F2" s="24" t="s">
        <v>118</v>
      </c>
      <c r="G2" s="24" t="s">
        <v>119</v>
      </c>
      <c r="H2" s="24" t="s">
        <v>153</v>
      </c>
      <c r="I2" s="24" t="s">
        <v>120</v>
      </c>
      <c r="J2" s="24" t="s">
        <v>149</v>
      </c>
      <c r="K2" s="24" t="s">
        <v>27</v>
      </c>
      <c r="L2" s="22"/>
      <c r="N2" s="303"/>
      <c r="O2" s="305"/>
      <c r="P2" s="184" t="s">
        <v>139</v>
      </c>
      <c r="Q2" s="24" t="s">
        <v>138</v>
      </c>
      <c r="R2" s="110"/>
      <c r="S2" s="24" t="s">
        <v>9</v>
      </c>
      <c r="T2" s="130" t="s">
        <v>10</v>
      </c>
      <c r="U2" s="24" t="s">
        <v>11</v>
      </c>
      <c r="X2" s="28">
        <v>11173.96</v>
      </c>
      <c r="Y2" s="22"/>
      <c r="Z2" s="28">
        <v>3858.97</v>
      </c>
      <c r="AA2" s="28">
        <f xml:space="preserve"> X2 + Z2</f>
        <v>15032.929999999998</v>
      </c>
      <c r="AB2" s="22">
        <v>30000</v>
      </c>
      <c r="AC2" s="110"/>
      <c r="AD2" s="110"/>
    </row>
    <row r="3" spans="1:30" ht="15" customHeight="1" thickBot="1">
      <c r="A3" s="105" t="s">
        <v>5</v>
      </c>
      <c r="B3" s="106">
        <v>46023</v>
      </c>
      <c r="C3" s="109"/>
      <c r="D3" s="3">
        <f xml:space="preserve"> 1196 + 108 + 50.75 + 20.89 + 9.9 + 20 + 14 + 40.8 + 500</f>
        <v>1960.3400000000001</v>
      </c>
      <c r="E3" s="3">
        <f xml:space="preserve"> 13.14 + 10 + 145.85 + 110.33 + 74.3 + 75.05</f>
        <v>428.67</v>
      </c>
      <c r="F3" s="3">
        <f xml:space="preserve"> 7.5 + 15</f>
        <v>22.5</v>
      </c>
      <c r="G3" s="3">
        <f xml:space="preserve"> 74.4</f>
        <v>74.400000000000006</v>
      </c>
      <c r="H3" s="3">
        <f t="shared" ref="H3:J3" si="0" xml:space="preserve"> 0</f>
        <v>0</v>
      </c>
      <c r="I3" s="3">
        <f t="shared" si="0"/>
        <v>0</v>
      </c>
      <c r="J3" s="3">
        <f t="shared" si="0"/>
        <v>0</v>
      </c>
      <c r="K3" s="3">
        <f>SUM(D3:J3)</f>
        <v>2485.9100000000003</v>
      </c>
      <c r="L3" s="22"/>
      <c r="N3" s="303" t="s">
        <v>165</v>
      </c>
      <c r="O3" s="305"/>
      <c r="P3" s="131">
        <f xml:space="preserve"> 43454.96</f>
        <v>43454.96</v>
      </c>
      <c r="Q3" s="131">
        <f xml:space="preserve"> 26704.46</f>
        <v>26704.46</v>
      </c>
      <c r="R3" s="110"/>
      <c r="S3" s="132">
        <v>45627</v>
      </c>
      <c r="T3" s="133">
        <v>17843</v>
      </c>
      <c r="U3" s="134">
        <f xml:space="preserve"> SUM(T3:T3) / 1</f>
        <v>17843</v>
      </c>
      <c r="X3" s="22"/>
      <c r="Y3" s="22">
        <v>61975.89</v>
      </c>
      <c r="Z3" s="22">
        <v>34730.75</v>
      </c>
      <c r="AA3" s="39">
        <v>66706.64</v>
      </c>
      <c r="AB3" s="42">
        <v>66706.64</v>
      </c>
      <c r="AC3" s="110"/>
      <c r="AD3" s="110"/>
    </row>
    <row r="4" spans="1:30" ht="15" customHeight="1" thickBot="1">
      <c r="A4" s="105" t="s">
        <v>6</v>
      </c>
      <c r="B4" s="3">
        <f ca="1" xml:space="preserve"> MONTH(B3) + 12 - MONTH(B2)</f>
        <v>1</v>
      </c>
      <c r="C4" s="2"/>
      <c r="D4" s="25"/>
      <c r="E4" s="136"/>
      <c r="F4" s="25"/>
      <c r="G4" s="137"/>
      <c r="H4" s="25"/>
      <c r="I4" s="22"/>
      <c r="J4" s="22"/>
      <c r="K4" s="22"/>
      <c r="L4" s="22"/>
      <c r="N4" s="303" t="s">
        <v>123</v>
      </c>
      <c r="O4" s="305"/>
      <c r="P4" s="131">
        <f xml:space="preserve"> E14 * 10000 + P3</f>
        <v>343454.96</v>
      </c>
      <c r="Q4" s="131">
        <f xml:space="preserve"> E14 * 10000 + Q3</f>
        <v>326704.46000000002</v>
      </c>
      <c r="R4" s="110"/>
      <c r="S4" s="132">
        <v>45658</v>
      </c>
      <c r="T4" s="133">
        <v>18479.14</v>
      </c>
      <c r="U4" s="134">
        <f xml:space="preserve"> SUM(T3:T4) / 2</f>
        <v>18161.07</v>
      </c>
      <c r="V4" s="11"/>
      <c r="X4" s="28"/>
      <c r="Y4" s="39">
        <v>38589.72</v>
      </c>
      <c r="Z4" s="40">
        <f>SUM(Z2:Z3)</f>
        <v>38589.72</v>
      </c>
      <c r="AA4" s="22">
        <f>SUM(AA2:AA3)</f>
        <v>81739.569999999992</v>
      </c>
      <c r="AB4" s="39">
        <f>SUM(AB2:AB3)</f>
        <v>96706.64</v>
      </c>
      <c r="AC4" s="40">
        <f xml:space="preserve"> Y5 - Z2</f>
        <v>96706.64</v>
      </c>
      <c r="AD4" s="110"/>
    </row>
    <row r="5" spans="1:30" ht="15" customHeight="1" thickBot="1">
      <c r="A5" s="25"/>
      <c r="B5" s="25"/>
      <c r="C5" s="25"/>
      <c r="D5" s="25"/>
      <c r="E5" s="25"/>
      <c r="F5" s="25"/>
      <c r="G5" s="137"/>
      <c r="H5" s="25"/>
      <c r="I5" s="22"/>
      <c r="J5" s="22"/>
      <c r="K5" s="22"/>
      <c r="L5" s="22"/>
      <c r="N5" s="303" t="s">
        <v>124</v>
      </c>
      <c r="O5" s="305"/>
      <c r="P5" s="131">
        <f xml:space="preserve"> E16</f>
        <v>343774.81</v>
      </c>
      <c r="Q5" s="131">
        <f xml:space="preserve"> E16</f>
        <v>343774.81</v>
      </c>
      <c r="R5" s="110"/>
      <c r="S5" s="132">
        <v>45689</v>
      </c>
      <c r="T5" s="133">
        <v>13084.35</v>
      </c>
      <c r="U5" s="134">
        <f xml:space="preserve"> SUM(T3:T5) / 3</f>
        <v>16468.829999999998</v>
      </c>
      <c r="V5" s="12"/>
      <c r="W5" s="9"/>
      <c r="X5" s="39">
        <v>100565.61</v>
      </c>
      <c r="Y5" s="41">
        <f>SUM(Y3:Y4)</f>
        <v>100565.61</v>
      </c>
      <c r="Z5" s="22"/>
      <c r="AA5" s="22"/>
      <c r="AB5" s="110"/>
      <c r="AC5" s="110"/>
      <c r="AD5" s="110"/>
    </row>
    <row r="6" spans="1:30" ht="15" customHeight="1">
      <c r="A6" s="293" t="s">
        <v>0</v>
      </c>
      <c r="B6" s="293"/>
      <c r="C6" s="293"/>
      <c r="D6" s="293"/>
      <c r="E6" s="293"/>
      <c r="F6" s="293" t="s">
        <v>246</v>
      </c>
      <c r="G6" s="293"/>
      <c r="H6" s="293"/>
      <c r="I6" s="22"/>
      <c r="J6" s="22"/>
      <c r="K6" s="22"/>
      <c r="L6" s="22"/>
      <c r="N6" s="303" t="s">
        <v>130</v>
      </c>
      <c r="O6" s="305"/>
      <c r="P6" s="131">
        <f xml:space="preserve"> P5 - P4</f>
        <v>319.84999999997672</v>
      </c>
      <c r="Q6" s="131">
        <f xml:space="preserve"> Q4 - Q5</f>
        <v>-17070.349999999977</v>
      </c>
      <c r="R6" s="110"/>
      <c r="S6" s="132">
        <v>45717</v>
      </c>
      <c r="T6" s="133">
        <v>14499.29</v>
      </c>
      <c r="U6" s="134">
        <f xml:space="preserve"> SUM(T3:T6) / 4</f>
        <v>15976.445</v>
      </c>
      <c r="V6" s="10"/>
      <c r="X6" s="22">
        <f>SUM(X2:X5)</f>
        <v>111739.57</v>
      </c>
      <c r="Y6" s="22"/>
      <c r="Z6" s="22"/>
      <c r="AA6" s="22"/>
      <c r="AB6" s="22"/>
      <c r="AC6" s="110"/>
      <c r="AD6" s="110"/>
    </row>
    <row r="7" spans="1:30" ht="15" customHeight="1">
      <c r="A7" s="111" t="s">
        <v>1</v>
      </c>
      <c r="B7" s="112">
        <f xml:space="preserve"> 2102.24 + 412.73 + 31304.31 + 18166.28 + (0.28 + 3206.64 + 23.91) + 33820.07 + 2772.29 + 3226.45 - 9480</f>
        <v>85555.199999999983</v>
      </c>
      <c r="C7" s="283" t="s">
        <v>323</v>
      </c>
      <c r="D7" s="284"/>
      <c r="E7" s="113">
        <f ca="1" xml:space="preserve"> ROUND((B11 + (B10 - E8) * B4 - B10 - (615000)) / B4, 0)</f>
        <v>42311</v>
      </c>
      <c r="F7" s="283" t="s">
        <v>172</v>
      </c>
      <c r="G7" s="284"/>
      <c r="H7" s="114">
        <f xml:space="preserve"> 19021.32 - 38702.06</f>
        <v>-19680.739999999998</v>
      </c>
      <c r="I7" s="22"/>
      <c r="J7" s="22"/>
      <c r="K7" s="22"/>
      <c r="L7" s="22"/>
      <c r="N7" s="303" t="s">
        <v>131</v>
      </c>
      <c r="O7" s="305"/>
      <c r="P7" s="131">
        <f xml:space="preserve"> P6 / 10</f>
        <v>31.984999999997672</v>
      </c>
      <c r="Q7" s="131">
        <f xml:space="preserve"> Q6 / 10</f>
        <v>-1707.0349999999976</v>
      </c>
      <c r="R7" s="123"/>
      <c r="S7" s="132">
        <v>45748</v>
      </c>
      <c r="T7" s="133">
        <v>14984.41</v>
      </c>
      <c r="U7" s="134">
        <f xml:space="preserve"> SUM(T3:T7) / 5</f>
        <v>15778.038</v>
      </c>
      <c r="V7" s="7"/>
      <c r="X7" s="110"/>
      <c r="Y7" s="110"/>
      <c r="Z7" s="110"/>
      <c r="AA7" s="110"/>
      <c r="AB7" s="110"/>
      <c r="AC7" s="110"/>
      <c r="AD7" s="110"/>
    </row>
    <row r="8" spans="1:30" ht="15" customHeight="1">
      <c r="A8" s="111" t="s">
        <v>78</v>
      </c>
      <c r="B8" s="112">
        <f xml:space="preserve"> (9.23 + (2858.88 - 50.72)) + 466597.35</f>
        <v>469414.74</v>
      </c>
      <c r="C8" s="306" t="s">
        <v>47</v>
      </c>
      <c r="D8" s="306"/>
      <c r="E8" s="116">
        <f xml:space="preserve"> 2558.5 + 3</f>
        <v>2561.5</v>
      </c>
      <c r="F8" s="283" t="s">
        <v>170</v>
      </c>
      <c r="G8" s="284"/>
      <c r="H8" s="114">
        <f xml:space="preserve"> 1196 + 108 + 50.75 + 20.89 + 9.9 + 20 + 14 + 40.8 + 500 + 13.14 + 10 + 145.85 + 110.33 + 74.3 + 75.05 + 7.5 + 15 + 74.4</f>
        <v>2485.9100000000008</v>
      </c>
      <c r="I8" s="22"/>
      <c r="J8" s="22"/>
      <c r="K8" s="22"/>
      <c r="L8" s="22"/>
      <c r="N8" s="303" t="s">
        <v>132</v>
      </c>
      <c r="O8" s="305"/>
      <c r="P8" s="131">
        <f xml:space="preserve"> P7 * 9</f>
        <v>287.86499999997903</v>
      </c>
      <c r="Q8" s="131">
        <f xml:space="preserve"> Q7 * 9</f>
        <v>-15363.314999999979</v>
      </c>
      <c r="R8" s="110"/>
      <c r="S8" s="132">
        <v>45778</v>
      </c>
      <c r="T8" s="133">
        <v>14058.51</v>
      </c>
      <c r="U8" s="134">
        <f xml:space="preserve"> SUM(T3:T8) / 6</f>
        <v>15491.449999999999</v>
      </c>
      <c r="V8" s="7"/>
      <c r="Y8" s="22"/>
      <c r="Z8" s="22"/>
      <c r="AA8" s="22"/>
    </row>
    <row r="9" spans="1:30" ht="15" customHeight="1">
      <c r="A9" s="111" t="s">
        <v>256</v>
      </c>
      <c r="B9" s="112">
        <f xml:space="preserve"> 20225.48</f>
        <v>20225.48</v>
      </c>
      <c r="C9" s="295" t="s">
        <v>367</v>
      </c>
      <c r="D9" s="111" t="s">
        <v>368</v>
      </c>
      <c r="E9" s="117">
        <f ca="1" xml:space="preserve"> ROUND(E7 * 16 / 17, -1)</f>
        <v>39820</v>
      </c>
      <c r="F9" s="283" t="s">
        <v>125</v>
      </c>
      <c r="G9" s="284"/>
      <c r="H9" s="114">
        <f xml:space="preserve"> 0</f>
        <v>0</v>
      </c>
      <c r="I9" s="22"/>
      <c r="J9" s="22"/>
      <c r="K9" s="22"/>
      <c r="L9" s="22"/>
      <c r="N9" s="313" t="s">
        <v>133</v>
      </c>
      <c r="O9" s="24">
        <v>1</v>
      </c>
      <c r="P9" s="131">
        <f xml:space="preserve"> P4 + P8</f>
        <v>343742.82500000001</v>
      </c>
      <c r="Q9" s="131">
        <f xml:space="preserve"> Q4 - Q7</f>
        <v>328411.495</v>
      </c>
      <c r="R9" s="110"/>
      <c r="S9" s="132">
        <v>45809</v>
      </c>
      <c r="T9" s="133">
        <v>16207.24</v>
      </c>
      <c r="U9" s="134">
        <f xml:space="preserve"> SUM(T3:T9) / 7</f>
        <v>15593.705714285714</v>
      </c>
      <c r="V9" s="7"/>
      <c r="Y9" s="22"/>
      <c r="Z9" s="22"/>
      <c r="AA9" s="22"/>
    </row>
    <row r="10" spans="1:30" ht="15" customHeight="1">
      <c r="A10" s="111" t="s">
        <v>3</v>
      </c>
      <c r="B10" s="112">
        <f>MIN(36810.72, 34359.72, 34994.14)</f>
        <v>34359.72</v>
      </c>
      <c r="C10" s="295"/>
      <c r="D10" s="111" t="s">
        <v>369</v>
      </c>
      <c r="E10" s="117">
        <f ca="1" xml:space="preserve"> E9 / 4</f>
        <v>9955</v>
      </c>
      <c r="F10" s="283" t="s">
        <v>114</v>
      </c>
      <c r="G10" s="284"/>
      <c r="H10" s="114">
        <f xml:space="preserve"> 0</f>
        <v>0</v>
      </c>
      <c r="I10" s="22"/>
      <c r="J10" s="22"/>
      <c r="K10" s="22"/>
      <c r="L10" s="22"/>
      <c r="N10" s="314"/>
      <c r="O10" s="24">
        <v>2</v>
      </c>
      <c r="P10" s="131">
        <f xml:space="preserve"> P5 - P7</f>
        <v>343742.82500000001</v>
      </c>
      <c r="Q10" s="131">
        <f xml:space="preserve"> Q5 + Q8</f>
        <v>328411.495</v>
      </c>
      <c r="R10" s="110"/>
      <c r="S10" s="132">
        <v>45839</v>
      </c>
      <c r="T10" s="133">
        <v>11741.96</v>
      </c>
      <c r="U10" s="134">
        <f xml:space="preserve"> SUM(T3:T10) / 8</f>
        <v>15112.237499999999</v>
      </c>
      <c r="V10" s="7"/>
      <c r="Y10" s="22"/>
      <c r="Z10" s="22"/>
      <c r="AA10" s="53"/>
      <c r="AB10" s="53"/>
    </row>
    <row r="11" spans="1:30" ht="15" customHeight="1">
      <c r="A11" s="111" t="s">
        <v>2</v>
      </c>
      <c r="B11" s="112">
        <f xml:space="preserve"> SUM(B7:B9) + SUM(B14:B18)</f>
        <v>659872.85999999987</v>
      </c>
      <c r="C11" s="283" t="s">
        <v>2320</v>
      </c>
      <c r="D11" s="284"/>
      <c r="E11" s="117">
        <f ca="1" xml:space="preserve"> ROUND(E7 * 1 / 68, -1)</f>
        <v>620</v>
      </c>
      <c r="F11" s="283" t="s">
        <v>115</v>
      </c>
      <c r="G11" s="284"/>
      <c r="H11" s="114">
        <f xml:space="preserve"> H7 + H8 + H9 - H10</f>
        <v>-17194.829999999998</v>
      </c>
      <c r="I11" s="22"/>
      <c r="J11" s="22"/>
      <c r="K11" s="22"/>
      <c r="L11" s="22"/>
      <c r="N11" s="313" t="s">
        <v>166</v>
      </c>
      <c r="O11" s="24">
        <v>1</v>
      </c>
      <c r="P11" s="131">
        <f xml:space="preserve"> P9 - E14 * 10000</f>
        <v>43742.825000000012</v>
      </c>
      <c r="Q11" s="131">
        <f xml:space="preserve"> Q9 - E14 * 10000</f>
        <v>28411.494999999995</v>
      </c>
      <c r="R11" s="110"/>
      <c r="S11" s="132">
        <v>45870</v>
      </c>
      <c r="T11" s="133">
        <v>17631.54</v>
      </c>
      <c r="U11" s="134">
        <f xml:space="preserve"> SUM(T3:T11) / 9</f>
        <v>15392.16</v>
      </c>
      <c r="V11" s="7"/>
      <c r="Y11" s="22"/>
      <c r="Z11" s="22"/>
      <c r="AA11" s="22"/>
    </row>
    <row r="12" spans="1:30" ht="15" customHeight="1">
      <c r="A12" s="25"/>
      <c r="B12" s="25"/>
      <c r="C12" s="25"/>
      <c r="D12" s="25"/>
      <c r="E12" s="25"/>
      <c r="F12" s="25"/>
      <c r="G12" s="118"/>
      <c r="H12" s="22"/>
      <c r="I12" s="22"/>
      <c r="J12" s="22"/>
      <c r="K12" s="22"/>
      <c r="L12" s="25"/>
      <c r="N12" s="314"/>
      <c r="O12" s="24">
        <v>2</v>
      </c>
      <c r="P12" s="131">
        <f xml:space="preserve"> P3 + P8</f>
        <v>43742.824999999975</v>
      </c>
      <c r="Q12" s="131">
        <f xml:space="preserve"> Q3 - Q7</f>
        <v>28411.494999999995</v>
      </c>
      <c r="R12" s="110"/>
      <c r="S12" s="132">
        <v>45901</v>
      </c>
      <c r="T12" s="133">
        <v>21354.400000000001</v>
      </c>
      <c r="U12" s="134">
        <f xml:space="preserve"> SUM(T3:T12) / 10</f>
        <v>15988.384</v>
      </c>
      <c r="V12" s="7"/>
      <c r="AA12" s="22"/>
    </row>
    <row r="13" spans="1:30" ht="15" customHeight="1">
      <c r="A13" s="296" t="s">
        <v>8</v>
      </c>
      <c r="B13" s="297"/>
      <c r="C13" s="296" t="s">
        <v>12</v>
      </c>
      <c r="D13" s="298"/>
      <c r="E13" s="297"/>
      <c r="F13" s="25"/>
      <c r="G13" s="118"/>
      <c r="H13" s="118"/>
      <c r="I13" s="118"/>
      <c r="J13" s="29"/>
      <c r="K13" s="118"/>
      <c r="L13" s="118"/>
      <c r="N13" s="315" t="s">
        <v>134</v>
      </c>
      <c r="O13" s="184">
        <v>1</v>
      </c>
      <c r="P13" s="288">
        <f xml:space="preserve"> P8</f>
        <v>287.86499999997903</v>
      </c>
      <c r="Q13" s="131">
        <f xml:space="preserve"> E14 * 10000 + Q11 - Q5</f>
        <v>-15363.315000000002</v>
      </c>
      <c r="R13" s="110"/>
      <c r="S13" s="132">
        <v>45931</v>
      </c>
      <c r="T13" s="133">
        <v>13152.16</v>
      </c>
      <c r="U13" s="134">
        <f xml:space="preserve"> SUM(T3:T13) / 11</f>
        <v>15730.545454545454</v>
      </c>
      <c r="V13" s="7"/>
    </row>
    <row r="14" spans="1:30" ht="15" customHeight="1">
      <c r="A14" s="111" t="s">
        <v>87</v>
      </c>
      <c r="B14" s="119">
        <f xml:space="preserve"> 114430.85 + 60369.64</f>
        <v>174800.49</v>
      </c>
      <c r="C14" s="285" t="s">
        <v>25</v>
      </c>
      <c r="D14" s="111" t="s">
        <v>164</v>
      </c>
      <c r="E14" s="120">
        <f xml:space="preserve"> 30</f>
        <v>30</v>
      </c>
      <c r="F14" s="25"/>
      <c r="G14" s="118"/>
      <c r="H14" s="118"/>
      <c r="I14" s="118"/>
      <c r="J14" s="118"/>
      <c r="K14" s="118"/>
      <c r="L14" s="118"/>
      <c r="N14" s="316"/>
      <c r="O14" s="184">
        <v>2</v>
      </c>
      <c r="P14" s="289"/>
      <c r="Q14" s="131">
        <f xml:space="preserve"> Q6 - Q7</f>
        <v>-15363.314999999979</v>
      </c>
      <c r="R14" s="110"/>
      <c r="S14" s="132">
        <v>45962</v>
      </c>
      <c r="T14" s="133">
        <v>8929.4699999999993</v>
      </c>
      <c r="U14" s="134">
        <f xml:space="preserve"> SUM(T3:T14) / 12</f>
        <v>15163.789166666667</v>
      </c>
      <c r="V14" s="7"/>
    </row>
    <row r="15" spans="1:30" ht="15" customHeight="1">
      <c r="A15" s="111" t="s">
        <v>111</v>
      </c>
      <c r="B15" s="119">
        <f xml:space="preserve"> -10000</f>
        <v>-10000</v>
      </c>
      <c r="C15" s="286"/>
      <c r="D15" s="111" t="s">
        <v>267</v>
      </c>
      <c r="E15" s="120">
        <f xml:space="preserve"> 43775.81</f>
        <v>43775.81</v>
      </c>
      <c r="F15" s="29"/>
      <c r="G15" s="118"/>
      <c r="H15" s="118"/>
      <c r="I15" s="118"/>
      <c r="J15" s="118"/>
      <c r="K15" s="118"/>
      <c r="L15" s="118"/>
      <c r="N15" s="317"/>
      <c r="O15" s="184">
        <v>3</v>
      </c>
      <c r="P15" s="290"/>
      <c r="Q15" s="131">
        <f xml:space="preserve"> Q8</f>
        <v>-15363.314999999979</v>
      </c>
      <c r="R15" s="22"/>
    </row>
    <row r="16" spans="1:30" ht="15" customHeight="1">
      <c r="A16" s="111" t="s">
        <v>86</v>
      </c>
      <c r="B16" s="119">
        <f xml:space="preserve"> -46729.15 + (91.36 + 900 + 1107.42)</f>
        <v>-44630.37</v>
      </c>
      <c r="C16" s="287"/>
      <c r="D16" s="111" t="s">
        <v>167</v>
      </c>
      <c r="E16" s="120">
        <f xml:space="preserve"> 290000 + 53774.81</f>
        <v>343774.81</v>
      </c>
      <c r="F16" s="22"/>
      <c r="G16" s="118"/>
      <c r="H16" s="118"/>
      <c r="I16" s="118"/>
      <c r="J16" s="118"/>
      <c r="K16" s="118"/>
      <c r="L16" s="118"/>
      <c r="M16" s="19"/>
    </row>
    <row r="17" spans="1:12" ht="15" customHeight="1">
      <c r="A17" s="111" t="s">
        <v>103</v>
      </c>
      <c r="B17" s="119">
        <f xml:space="preserve"> (-B15 + 36706.64) + 35.65</f>
        <v>46742.29</v>
      </c>
      <c r="C17" s="283" t="s">
        <v>26</v>
      </c>
      <c r="D17" s="284"/>
      <c r="E17" s="122">
        <f xml:space="preserve"> 162.5 + 6</f>
        <v>168.5</v>
      </c>
      <c r="F17" s="22"/>
      <c r="G17" s="118"/>
      <c r="H17" s="118"/>
      <c r="I17" s="118"/>
      <c r="J17" s="118"/>
      <c r="K17" s="118"/>
      <c r="L17" s="118"/>
    </row>
    <row r="18" spans="1:12" ht="15" customHeight="1">
      <c r="A18" s="111" t="s">
        <v>35</v>
      </c>
      <c r="B18" s="119">
        <f xml:space="preserve"> -5376.11 - 3198.36 - 20581.64 - 3104.02 - 4215.72 - 4858.9 - 6432.99 - 6653.07 - 9383.41 - 7256.79 - 11173.96</f>
        <v>-82234.97</v>
      </c>
      <c r="C18" s="283" t="s">
        <v>27</v>
      </c>
      <c r="D18" s="284"/>
      <c r="E18" s="122">
        <f xml:space="preserve"> E14 + E17</f>
        <v>198.5</v>
      </c>
      <c r="F18" s="22"/>
      <c r="G18" s="118"/>
      <c r="H18" s="118"/>
      <c r="I18" s="118"/>
      <c r="J18" s="118"/>
      <c r="K18" s="118"/>
      <c r="L18" s="118"/>
    </row>
    <row r="19" spans="1:12" ht="15" customHeight="1">
      <c r="A19" s="25"/>
      <c r="B19" s="138"/>
      <c r="C19" s="25"/>
      <c r="D19" s="25"/>
      <c r="E19" s="25"/>
      <c r="F19" s="22"/>
      <c r="G19" s="118"/>
      <c r="H19" s="118"/>
      <c r="I19" s="118"/>
      <c r="J19" s="118"/>
      <c r="K19" s="118"/>
      <c r="L19" s="118"/>
    </row>
    <row r="20" spans="1:12" ht="15" customHeight="1">
      <c r="A20" s="124" t="s">
        <v>2810</v>
      </c>
      <c r="B20" s="112">
        <f xml:space="preserve"> SUM(B7:B9) + B14 + B15 + B17 + E18 * 10000 + (E16 - E14 * 10000)</f>
        <v>2815513.0100000002</v>
      </c>
      <c r="C20" s="125" t="s">
        <v>388</v>
      </c>
      <c r="D20" s="57">
        <f xml:space="preserve"> 1498.98</f>
        <v>1498.98</v>
      </c>
      <c r="E20" s="57">
        <f xml:space="preserve"> D20 * 2</f>
        <v>2997.96</v>
      </c>
      <c r="F20" s="57">
        <f xml:space="preserve"> 12.26 + 198 + 48 + 370 + 97.99 + 201</f>
        <v>927.25</v>
      </c>
      <c r="G20" s="57">
        <f xml:space="preserve"> D20 - F20</f>
        <v>571.73</v>
      </c>
      <c r="H20" s="22"/>
      <c r="I20" s="22"/>
      <c r="K20" s="22"/>
      <c r="L20" s="22"/>
    </row>
    <row r="21" spans="1:12" ht="15" thickBot="1">
      <c r="A21" s="110"/>
      <c r="B21" s="110"/>
      <c r="C21" s="110"/>
      <c r="D21" s="110"/>
      <c r="E21" s="110"/>
      <c r="F21" s="110"/>
      <c r="G21" s="110"/>
      <c r="H21" s="110"/>
      <c r="I21" s="22"/>
      <c r="J21" s="22"/>
      <c r="K21" s="22"/>
      <c r="L21" s="22"/>
    </row>
    <row r="22" spans="1:12" ht="18" customHeight="1">
      <c r="A22" s="293" t="s">
        <v>261</v>
      </c>
      <c r="B22" s="293"/>
      <c r="C22" s="125" t="s">
        <v>79</v>
      </c>
      <c r="D22" s="294" t="s">
        <v>2816</v>
      </c>
      <c r="E22" s="294"/>
      <c r="F22" s="294" t="s">
        <v>110</v>
      </c>
      <c r="G22" s="294"/>
      <c r="H22" s="161">
        <f xml:space="preserve"> FLOOR((E16 / 100) / AVERAGE(E24:E27), 1)</f>
        <v>213</v>
      </c>
      <c r="I22" s="299" t="s">
        <v>543</v>
      </c>
      <c r="J22" s="300"/>
      <c r="K22" s="301">
        <v>1.05</v>
      </c>
      <c r="L22" s="302"/>
    </row>
    <row r="23" spans="1:12" ht="18" customHeight="1">
      <c r="A23" s="185" t="s">
        <v>25</v>
      </c>
      <c r="B23" s="121" t="s">
        <v>80</v>
      </c>
      <c r="C23" s="295" t="s">
        <v>148</v>
      </c>
      <c r="D23" s="295"/>
      <c r="E23" s="295"/>
      <c r="F23" s="295"/>
      <c r="G23" s="295"/>
      <c r="H23" s="126" t="s">
        <v>81</v>
      </c>
      <c r="I23" s="202" t="s">
        <v>82</v>
      </c>
      <c r="J23" s="105" t="s">
        <v>178</v>
      </c>
      <c r="K23" s="105" t="s">
        <v>262</v>
      </c>
      <c r="L23" s="203" t="s">
        <v>113</v>
      </c>
    </row>
    <row r="24" spans="1:12" ht="18" customHeight="1">
      <c r="A24" s="207" t="s">
        <v>2522</v>
      </c>
      <c r="B24" s="129">
        <v>31.085999999999999</v>
      </c>
      <c r="C24" s="128">
        <f xml:space="preserve"> B24 * $K$22</f>
        <v>32.640299999999996</v>
      </c>
      <c r="D24" s="129">
        <f t="shared" ref="D24:D26" si="1" xml:space="preserve"> C24 * $K$22</f>
        <v>34.272314999999999</v>
      </c>
      <c r="E24" s="227">
        <f t="shared" ref="E24:E26" si="2" xml:space="preserve"> D24 * $K$22</f>
        <v>35.985930750000001</v>
      </c>
      <c r="F24" s="127">
        <f t="shared" ref="F24:F26" si="3" xml:space="preserve"> E24 * $K$22</f>
        <v>37.7852272875</v>
      </c>
      <c r="G24" s="127">
        <f t="shared" ref="G24:G26" si="4" xml:space="preserve"> F24 * $K$22</f>
        <v>39.674488651875002</v>
      </c>
      <c r="H24" s="210">
        <f t="shared" ref="H24:H26" si="5" xml:space="preserve"> G24 * $K$22</f>
        <v>41.658213084468755</v>
      </c>
      <c r="I24" s="193">
        <v>2</v>
      </c>
      <c r="J24" s="194">
        <f xml:space="preserve"> 4 / 5</f>
        <v>0.8</v>
      </c>
      <c r="K24" s="195">
        <v>12</v>
      </c>
      <c r="L24" s="196">
        <f xml:space="preserve"> 28.1 * 600</f>
        <v>16860</v>
      </c>
    </row>
    <row r="25" spans="1:12" ht="18" customHeight="1">
      <c r="A25" s="207" t="s">
        <v>2668</v>
      </c>
      <c r="B25" s="129">
        <v>7.8949999999999996</v>
      </c>
      <c r="C25" s="129">
        <f t="shared" ref="C25:C26" si="6" xml:space="preserve"> B25 * $K$22</f>
        <v>8.2897499999999997</v>
      </c>
      <c r="D25" s="128">
        <f t="shared" si="1"/>
        <v>8.7042374999999996</v>
      </c>
      <c r="E25" s="129">
        <f t="shared" si="2"/>
        <v>9.1394493749999999</v>
      </c>
      <c r="F25" s="229">
        <f t="shared" si="3"/>
        <v>9.5964218437500008</v>
      </c>
      <c r="G25" s="127">
        <f t="shared" si="4"/>
        <v>10.076242935937501</v>
      </c>
      <c r="H25" s="210">
        <f t="shared" si="5"/>
        <v>10.580055082734376</v>
      </c>
      <c r="I25" s="193">
        <v>3</v>
      </c>
      <c r="J25" s="194">
        <f xml:space="preserve"> 2 / 4</f>
        <v>0.5</v>
      </c>
      <c r="K25" s="195">
        <v>12</v>
      </c>
      <c r="L25" s="196">
        <f xml:space="preserve"> 7.42 * 600</f>
        <v>4452</v>
      </c>
    </row>
    <row r="26" spans="1:12" ht="18" customHeight="1">
      <c r="A26" s="233" t="s">
        <v>2790</v>
      </c>
      <c r="B26" s="129">
        <v>6.3040000000000003</v>
      </c>
      <c r="C26" s="129">
        <f t="shared" si="6"/>
        <v>6.6192000000000002</v>
      </c>
      <c r="D26" s="129">
        <f t="shared" si="1"/>
        <v>6.9501600000000003</v>
      </c>
      <c r="E26" s="127">
        <f t="shared" si="2"/>
        <v>7.2976680000000007</v>
      </c>
      <c r="F26" s="127">
        <f t="shared" si="3"/>
        <v>7.6625514000000008</v>
      </c>
      <c r="G26" s="228">
        <f t="shared" si="4"/>
        <v>8.0456789700000009</v>
      </c>
      <c r="H26" s="210">
        <f t="shared" si="5"/>
        <v>8.4479629185000018</v>
      </c>
      <c r="I26" s="193">
        <v>1</v>
      </c>
      <c r="J26" s="194">
        <f xml:space="preserve"> 11 / 1</f>
        <v>11</v>
      </c>
      <c r="K26" s="195">
        <v>12</v>
      </c>
      <c r="L26" s="196">
        <f xml:space="preserve"> 7.56 * 200</f>
        <v>1512</v>
      </c>
    </row>
    <row r="27" spans="1:12" ht="18" customHeight="1">
      <c r="A27" s="207" t="s">
        <v>2813</v>
      </c>
      <c r="B27" s="127">
        <v>10.413</v>
      </c>
      <c r="C27" s="227">
        <f t="shared" ref="C27:H27" si="7" xml:space="preserve"> B27 * $K$22</f>
        <v>10.93365</v>
      </c>
      <c r="D27" s="227">
        <f t="shared" si="7"/>
        <v>11.480332500000001</v>
      </c>
      <c r="E27" s="227">
        <f t="shared" si="7"/>
        <v>12.054349125000002</v>
      </c>
      <c r="F27" s="129">
        <f t="shared" si="7"/>
        <v>12.657066581250003</v>
      </c>
      <c r="G27" s="129">
        <f t="shared" si="7"/>
        <v>13.289919910312504</v>
      </c>
      <c r="H27" s="175">
        <f t="shared" si="7"/>
        <v>13.95441590582813</v>
      </c>
      <c r="I27" s="193">
        <v>4</v>
      </c>
      <c r="J27" s="194">
        <f xml:space="preserve"> 0 / 1</f>
        <v>0</v>
      </c>
      <c r="K27" s="195">
        <v>12</v>
      </c>
      <c r="L27" s="196">
        <f xml:space="preserve"> 9.82 * 200</f>
        <v>1964</v>
      </c>
    </row>
    <row r="28" spans="1:12" ht="18" customHeight="1">
      <c r="A28" s="107" t="s">
        <v>83</v>
      </c>
      <c r="B28" s="160"/>
      <c r="C28" s="221">
        <v>10</v>
      </c>
      <c r="D28" s="160"/>
      <c r="E28" s="225">
        <v>16</v>
      </c>
      <c r="F28" s="160"/>
      <c r="G28" s="224">
        <v>22</v>
      </c>
      <c r="H28" s="162"/>
      <c r="I28" s="291"/>
      <c r="J28" s="292"/>
      <c r="K28" s="195">
        <f>SUM(K24:K27)</f>
        <v>48</v>
      </c>
      <c r="L28" s="197">
        <f>SUM(L24:L27)</f>
        <v>24788</v>
      </c>
    </row>
    <row r="29" spans="1:12" ht="18" customHeight="1">
      <c r="A29" s="115" t="s">
        <v>2814</v>
      </c>
      <c r="B29" s="129">
        <v>9.8490000000000002</v>
      </c>
      <c r="C29" s="129">
        <f t="shared" ref="C29:H31" si="8" xml:space="preserve"> B29 * $K$22</f>
        <v>10.34145</v>
      </c>
      <c r="D29" s="129">
        <f t="shared" si="8"/>
        <v>10.858522500000001</v>
      </c>
      <c r="E29" s="129">
        <f t="shared" si="8"/>
        <v>11.401448625000002</v>
      </c>
      <c r="F29" s="129">
        <f t="shared" si="8"/>
        <v>11.971521056250003</v>
      </c>
      <c r="G29" s="128">
        <f t="shared" si="8"/>
        <v>12.570097109062504</v>
      </c>
      <c r="H29" s="210">
        <f t="shared" si="8"/>
        <v>13.19860196451563</v>
      </c>
      <c r="I29" s="198" t="s">
        <v>2521</v>
      </c>
      <c r="J29" s="194">
        <f xml:space="preserve"> 0 / (1 + 0)</f>
        <v>0</v>
      </c>
      <c r="K29" s="307">
        <f xml:space="preserve"> 5.98 + 7.9 + 9.8 + 7.99</f>
        <v>31.67</v>
      </c>
      <c r="L29" s="308"/>
    </row>
    <row r="30" spans="1:12" ht="18" customHeight="1">
      <c r="A30" s="115" t="s">
        <v>2780</v>
      </c>
      <c r="B30" s="129">
        <v>7.2469999999999999</v>
      </c>
      <c r="C30" s="129">
        <f t="shared" si="8"/>
        <v>7.6093500000000001</v>
      </c>
      <c r="D30" s="129">
        <f t="shared" si="8"/>
        <v>7.9898175</v>
      </c>
      <c r="E30" s="129">
        <f t="shared" si="8"/>
        <v>8.3893083750000006</v>
      </c>
      <c r="F30" s="128">
        <f t="shared" si="8"/>
        <v>8.8087737937500012</v>
      </c>
      <c r="G30" s="129">
        <f t="shared" si="8"/>
        <v>9.2492124834375016</v>
      </c>
      <c r="H30" s="217">
        <f t="shared" si="8"/>
        <v>9.7116731076093767</v>
      </c>
      <c r="I30" s="198" t="s">
        <v>2559</v>
      </c>
      <c r="J30" s="194">
        <f xml:space="preserve"> 3 / 1</f>
        <v>3</v>
      </c>
      <c r="K30" s="309"/>
      <c r="L30" s="310"/>
    </row>
    <row r="31" spans="1:12" ht="18" customHeight="1">
      <c r="A31" s="115" t="s">
        <v>2815</v>
      </c>
      <c r="B31" s="129">
        <v>7.6360000000000001</v>
      </c>
      <c r="C31" s="226">
        <f xml:space="preserve"> B31 * $K$22</f>
        <v>8.0178000000000011</v>
      </c>
      <c r="D31" s="129">
        <f t="shared" si="8"/>
        <v>8.4186900000000016</v>
      </c>
      <c r="E31" s="129">
        <f t="shared" si="8"/>
        <v>8.8396245000000029</v>
      </c>
      <c r="F31" s="128">
        <f t="shared" si="8"/>
        <v>9.2816057250000039</v>
      </c>
      <c r="G31" s="129">
        <f t="shared" si="8"/>
        <v>9.7456860112500046</v>
      </c>
      <c r="H31" s="217">
        <f t="shared" si="8"/>
        <v>10.232970311812505</v>
      </c>
      <c r="I31" s="198" t="s">
        <v>2521</v>
      </c>
      <c r="J31" s="194">
        <f xml:space="preserve"> 3 / (1 + 0)</f>
        <v>3</v>
      </c>
      <c r="K31" s="309"/>
      <c r="L31" s="310"/>
    </row>
    <row r="32" spans="1:12" ht="18" customHeight="1" thickBot="1">
      <c r="A32" s="115" t="s">
        <v>2791</v>
      </c>
      <c r="B32" s="127">
        <v>18.695</v>
      </c>
      <c r="C32" s="129">
        <f xml:space="preserve"> B32 * $K$22</f>
        <v>19.629750000000001</v>
      </c>
      <c r="D32" s="129">
        <f xml:space="preserve"> C32 * $K$22</f>
        <v>20.611237500000001</v>
      </c>
      <c r="E32" s="129">
        <f xml:space="preserve"> D32 * $K$22</f>
        <v>21.641799375000002</v>
      </c>
      <c r="F32" s="128">
        <f xml:space="preserve"> E32 * $K$22</f>
        <v>22.723889343750002</v>
      </c>
      <c r="G32" s="129">
        <f xml:space="preserve"> F32 * $K$22</f>
        <v>23.860083810937503</v>
      </c>
      <c r="H32" s="217">
        <f xml:space="preserve"> G32 * $K$22</f>
        <v>25.05308800148438</v>
      </c>
      <c r="I32" s="199" t="s">
        <v>2521</v>
      </c>
      <c r="J32" s="200">
        <f xml:space="preserve"> 0 / (1 + 0)</f>
        <v>0</v>
      </c>
      <c r="K32" s="311"/>
      <c r="L32" s="312"/>
    </row>
    <row r="33" spans="1:12" ht="15" customHeight="1">
      <c r="B33" s="20"/>
      <c r="H33" s="20"/>
      <c r="K33" s="201"/>
      <c r="L33" s="25"/>
    </row>
    <row r="34" spans="1:12" ht="15" customHeight="1">
      <c r="B34" s="60"/>
      <c r="C34" s="60"/>
      <c r="D34" s="38"/>
      <c r="E34" s="38"/>
      <c r="F34" s="38"/>
      <c r="G34" s="60"/>
      <c r="H34" s="60"/>
      <c r="K34" s="201"/>
      <c r="L34" s="25"/>
    </row>
    <row r="35" spans="1:12" ht="15" customHeight="1">
      <c r="B35" s="60"/>
      <c r="C35" s="60"/>
      <c r="D35" s="38"/>
      <c r="E35" s="38"/>
      <c r="F35" s="38"/>
      <c r="G35" s="60"/>
      <c r="H35" s="60"/>
      <c r="L35" s="25"/>
    </row>
    <row r="36" spans="1:12" ht="15" customHeight="1">
      <c r="B36" s="60"/>
      <c r="C36" s="60"/>
      <c r="D36" s="38"/>
      <c r="E36" s="38"/>
      <c r="F36" s="38"/>
      <c r="G36" s="60"/>
      <c r="H36" s="60"/>
    </row>
    <row r="37" spans="1:12" ht="15" customHeight="1">
      <c r="B37" s="60"/>
      <c r="C37" s="60"/>
      <c r="D37" s="38"/>
      <c r="E37" s="38"/>
      <c r="F37" s="38"/>
      <c r="G37" s="60"/>
      <c r="H37" s="60"/>
    </row>
    <row r="38" spans="1:12" ht="15" customHeight="1">
      <c r="B38" s="60"/>
      <c r="C38" s="60"/>
      <c r="D38" s="38"/>
      <c r="E38" s="38"/>
      <c r="F38" s="38"/>
      <c r="G38" s="60"/>
      <c r="H38" s="60"/>
    </row>
    <row r="39" spans="1:12" ht="15" customHeight="1">
      <c r="B39" s="60"/>
      <c r="C39" s="60"/>
      <c r="D39" s="38"/>
      <c r="E39" s="38"/>
      <c r="F39" s="38"/>
      <c r="G39" s="60"/>
      <c r="H39" s="60"/>
    </row>
    <row r="40" spans="1:12" ht="15" customHeight="1">
      <c r="B40" s="60"/>
      <c r="C40" s="60"/>
      <c r="D40" s="38"/>
      <c r="E40" s="38"/>
      <c r="F40" s="38"/>
      <c r="G40" s="60"/>
      <c r="H40" s="60"/>
    </row>
    <row r="41" spans="1:12" ht="15" customHeight="1">
      <c r="D41" s="38"/>
      <c r="F41" s="38"/>
    </row>
    <row r="42" spans="1:12" ht="15" customHeight="1">
      <c r="A42" s="24" t="s">
        <v>121</v>
      </c>
      <c r="B42" s="24" t="s">
        <v>117</v>
      </c>
      <c r="C42" s="24" t="s">
        <v>118</v>
      </c>
      <c r="D42" s="24" t="s">
        <v>119</v>
      </c>
      <c r="E42" s="24" t="s">
        <v>153</v>
      </c>
      <c r="F42" s="24" t="s">
        <v>120</v>
      </c>
      <c r="G42" s="24" t="s">
        <v>149</v>
      </c>
      <c r="H42" s="24" t="s">
        <v>27</v>
      </c>
      <c r="K42"/>
    </row>
    <row r="43" spans="1:12" ht="15" customHeight="1">
      <c r="A43" s="3">
        <f xml:space="preserve"> 50</f>
        <v>50</v>
      </c>
      <c r="B43" s="3">
        <f xml:space="preserve"> 21.4 + 127.66</f>
        <v>149.06</v>
      </c>
      <c r="C43" s="3">
        <f xml:space="preserve"> 13.3 + 103.52</f>
        <v>116.82</v>
      </c>
      <c r="D43" s="3">
        <f xml:space="preserve"> 21.8 + 40.8 + 44.6 + 40.8 + 121.8</f>
        <v>269.8</v>
      </c>
      <c r="E43" s="3">
        <f xml:space="preserve"> 100 + 6.9 + 45.06 + 120</f>
        <v>271.96000000000004</v>
      </c>
      <c r="F43" s="3">
        <f xml:space="preserve"> 62.2 + 8</f>
        <v>70.2</v>
      </c>
      <c r="G43" s="3">
        <f xml:space="preserve"> 52.5 + 20.89 + 66.71</f>
        <v>140.1</v>
      </c>
      <c r="H43" s="3">
        <f>SUM(A43:G43)</f>
        <v>1067.94</v>
      </c>
    </row>
    <row r="44" spans="1:12" ht="15" customHeight="1"/>
    <row r="45" spans="1:12" ht="15" customHeight="1"/>
    <row r="59" spans="10:10">
      <c r="J59" s="19"/>
    </row>
  </sheetData>
  <mergeCells count="39">
    <mergeCell ref="K29:L32"/>
    <mergeCell ref="N11:N12"/>
    <mergeCell ref="N9:N10"/>
    <mergeCell ref="N13:N15"/>
    <mergeCell ref="N4:O4"/>
    <mergeCell ref="N5:O5"/>
    <mergeCell ref="N6:O6"/>
    <mergeCell ref="N7:O7"/>
    <mergeCell ref="N8:O8"/>
    <mergeCell ref="C8:D8"/>
    <mergeCell ref="N2:O2"/>
    <mergeCell ref="N3:O3"/>
    <mergeCell ref="F7:G7"/>
    <mergeCell ref="A6:E6"/>
    <mergeCell ref="F8:G8"/>
    <mergeCell ref="F6:H6"/>
    <mergeCell ref="N1:Q1"/>
    <mergeCell ref="D1:K1"/>
    <mergeCell ref="S1:U1"/>
    <mergeCell ref="A1:B1"/>
    <mergeCell ref="C7:D7"/>
    <mergeCell ref="C11:D11"/>
    <mergeCell ref="F9:G9"/>
    <mergeCell ref="F10:G10"/>
    <mergeCell ref="F11:G11"/>
    <mergeCell ref="C9:C10"/>
    <mergeCell ref="C18:D18"/>
    <mergeCell ref="C14:C16"/>
    <mergeCell ref="P13:P15"/>
    <mergeCell ref="I28:J28"/>
    <mergeCell ref="A22:B22"/>
    <mergeCell ref="D22:E22"/>
    <mergeCell ref="F22:G22"/>
    <mergeCell ref="C23:G23"/>
    <mergeCell ref="C17:D17"/>
    <mergeCell ref="A13:B13"/>
    <mergeCell ref="C13:E13"/>
    <mergeCell ref="I22:J22"/>
    <mergeCell ref="K22:L22"/>
  </mergeCells>
  <phoneticPr fontId="4" type="noConversion"/>
  <pageMargins left="0.7" right="0.7" top="0.75" bottom="0.75" header="0.3" footer="0.3"/>
  <pageSetup paperSize="9" orientation="portrait" horizontalDpi="200" verticalDpi="200" r:id="rId1"/>
  <headerFooter>
    <oddHeader>&amp;C&amp;"Calibri"&amp;10&amp;K4A569E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D99D-7C4A-47CD-B041-2CCB64D1E7BA}">
  <sheetPr codeName="Sheet3"/>
  <dimension ref="A1:U1215"/>
  <sheetViews>
    <sheetView tabSelected="1" zoomScaleNormal="100" workbookViewId="0">
      <pane ySplit="2" topLeftCell="A280" activePane="bottomLeft" state="frozen"/>
      <selection activeCell="E28" sqref="E28"/>
      <selection pane="bottomLeft" activeCell="E285" sqref="E285"/>
    </sheetView>
  </sheetViews>
  <sheetFormatPr baseColWidth="10" defaultColWidth="8.83203125" defaultRowHeight="15" customHeight="1"/>
  <cols>
    <col min="1" max="1" width="11.6640625" style="82" bestFit="1" customWidth="1"/>
    <col min="2" max="2" width="21.6640625" style="140" bestFit="1" customWidth="1"/>
    <col min="3" max="3" width="24.83203125" style="140" bestFit="1" customWidth="1"/>
    <col min="4" max="4" width="31.5" style="140" bestFit="1" customWidth="1"/>
    <col min="5" max="5" width="26.6640625" style="140" bestFit="1" customWidth="1"/>
    <col min="6" max="6" width="13.6640625" style="140" bestFit="1" customWidth="1"/>
    <col min="7" max="7" width="6.1640625" style="140" bestFit="1" customWidth="1"/>
    <col min="8" max="8" width="6.6640625" style="140" bestFit="1" customWidth="1"/>
    <col min="9" max="9" width="5.83203125" style="140" bestFit="1" customWidth="1"/>
    <col min="10" max="10" width="8.33203125" style="140" bestFit="1" customWidth="1"/>
    <col min="11" max="11" width="16.1640625" style="140" bestFit="1" customWidth="1"/>
    <col min="12" max="12" width="11.1640625" style="140" bestFit="1" customWidth="1"/>
    <col min="13" max="13" width="4.33203125" style="142" customWidth="1"/>
    <col min="14" max="14" width="14.6640625" style="140" bestFit="1" customWidth="1"/>
    <col min="15" max="15" width="13" style="140" bestFit="1" customWidth="1"/>
    <col min="16" max="16" width="17.33203125" style="140" bestFit="1" customWidth="1"/>
    <col min="17" max="17" width="15" style="143" bestFit="1" customWidth="1"/>
    <col min="18" max="20" width="8.83203125" style="143"/>
    <col min="21" max="16384" width="8.83203125" style="140"/>
  </cols>
  <sheetData>
    <row r="1" spans="1:21" s="82" customFormat="1" ht="15" customHeight="1">
      <c r="A1" s="318" t="s">
        <v>280</v>
      </c>
      <c r="B1" s="318" t="s">
        <v>137</v>
      </c>
      <c r="C1" s="318"/>
      <c r="D1" s="318"/>
      <c r="E1" s="318"/>
      <c r="F1" s="318" t="s">
        <v>220</v>
      </c>
      <c r="G1" s="318" t="s">
        <v>277</v>
      </c>
      <c r="H1" s="318"/>
      <c r="I1" s="318"/>
      <c r="J1" s="318"/>
      <c r="K1" s="318" t="s">
        <v>218</v>
      </c>
      <c r="L1" s="320" t="s">
        <v>249</v>
      </c>
      <c r="M1" s="80"/>
      <c r="N1" s="318" t="s">
        <v>2185</v>
      </c>
      <c r="O1" s="318" t="s">
        <v>2158</v>
      </c>
      <c r="P1" s="318" t="s">
        <v>2186</v>
      </c>
      <c r="Q1" s="81"/>
      <c r="R1" s="81"/>
    </row>
    <row r="2" spans="1:21" s="82" customFormat="1" ht="15" customHeight="1">
      <c r="A2" s="319"/>
      <c r="B2" s="135" t="s">
        <v>217</v>
      </c>
      <c r="C2" s="135" t="s">
        <v>216</v>
      </c>
      <c r="D2" s="135" t="s">
        <v>215</v>
      </c>
      <c r="E2" s="135" t="s">
        <v>539</v>
      </c>
      <c r="F2" s="319"/>
      <c r="G2" s="135" t="s">
        <v>221</v>
      </c>
      <c r="H2" s="135" t="s">
        <v>219</v>
      </c>
      <c r="I2" s="135" t="s">
        <v>479</v>
      </c>
      <c r="J2" s="135" t="s">
        <v>480</v>
      </c>
      <c r="K2" s="319"/>
      <c r="L2" s="321"/>
      <c r="M2" s="80"/>
      <c r="N2" s="319"/>
      <c r="O2" s="319"/>
      <c r="P2" s="319"/>
      <c r="Q2" s="81"/>
      <c r="R2" s="81"/>
    </row>
    <row r="3" spans="1:21" ht="15" customHeight="1">
      <c r="A3" s="82">
        <v>1</v>
      </c>
      <c r="B3" s="140" t="s">
        <v>208</v>
      </c>
      <c r="E3" s="140" t="s">
        <v>771</v>
      </c>
      <c r="N3" s="139" t="s">
        <v>230</v>
      </c>
      <c r="S3" s="140"/>
      <c r="T3" s="140"/>
    </row>
    <row r="4" spans="1:21" ht="15" customHeight="1">
      <c r="C4" s="140" t="s">
        <v>389</v>
      </c>
      <c r="N4" s="139" t="s">
        <v>255</v>
      </c>
      <c r="S4" s="140"/>
      <c r="T4" s="140"/>
    </row>
    <row r="5" spans="1:21" ht="15" customHeight="1">
      <c r="D5" s="140" t="s">
        <v>390</v>
      </c>
      <c r="N5" s="139" t="s">
        <v>1128</v>
      </c>
      <c r="S5" s="140"/>
      <c r="T5" s="140"/>
    </row>
    <row r="6" spans="1:21" ht="15" customHeight="1">
      <c r="D6" s="140" t="s">
        <v>391</v>
      </c>
      <c r="N6" s="139" t="s">
        <v>374</v>
      </c>
      <c r="S6" s="140"/>
      <c r="T6" s="140"/>
    </row>
    <row r="7" spans="1:21" ht="15" customHeight="1">
      <c r="D7" s="140" t="s">
        <v>2033</v>
      </c>
      <c r="N7" s="139" t="s">
        <v>205</v>
      </c>
      <c r="S7" s="140"/>
      <c r="T7" s="140"/>
    </row>
    <row r="8" spans="1:21" ht="15" customHeight="1">
      <c r="D8" s="140" t="s">
        <v>733</v>
      </c>
      <c r="N8" s="140" t="s">
        <v>2159</v>
      </c>
      <c r="S8" s="140"/>
      <c r="T8" s="140"/>
    </row>
    <row r="9" spans="1:21" ht="15" customHeight="1">
      <c r="D9" s="140" t="s">
        <v>2034</v>
      </c>
      <c r="N9" s="140" t="s">
        <v>310</v>
      </c>
      <c r="S9" s="140"/>
      <c r="T9" s="140"/>
    </row>
    <row r="10" spans="1:21" ht="15" customHeight="1">
      <c r="D10" s="140" t="s">
        <v>2035</v>
      </c>
      <c r="O10" s="139" t="s">
        <v>537</v>
      </c>
      <c r="S10" s="140"/>
      <c r="T10" s="140"/>
    </row>
    <row r="11" spans="1:21" ht="15" customHeight="1">
      <c r="C11" s="140" t="s">
        <v>714</v>
      </c>
      <c r="O11" s="139" t="s">
        <v>213</v>
      </c>
      <c r="S11" s="140"/>
      <c r="T11" s="140"/>
    </row>
    <row r="12" spans="1:21" ht="15" customHeight="1">
      <c r="D12" s="140" t="s">
        <v>716</v>
      </c>
      <c r="O12" s="141" t="s">
        <v>207</v>
      </c>
      <c r="S12" s="140"/>
      <c r="T12" s="140"/>
    </row>
    <row r="13" spans="1:21" ht="15" customHeight="1">
      <c r="D13" s="140" t="s">
        <v>983</v>
      </c>
      <c r="P13" s="140" t="s">
        <v>719</v>
      </c>
      <c r="U13" s="143"/>
    </row>
    <row r="14" spans="1:21" ht="15" customHeight="1">
      <c r="D14" s="140" t="s">
        <v>984</v>
      </c>
      <c r="P14" s="140" t="s">
        <v>2187</v>
      </c>
    </row>
    <row r="15" spans="1:21" ht="15" customHeight="1">
      <c r="D15" s="140" t="s">
        <v>2152</v>
      </c>
      <c r="L15" s="139"/>
      <c r="P15" s="140" t="s">
        <v>204</v>
      </c>
    </row>
    <row r="16" spans="1:21" ht="15" customHeight="1">
      <c r="C16" s="140" t="s">
        <v>2036</v>
      </c>
      <c r="P16" s="140" t="s">
        <v>2114</v>
      </c>
    </row>
    <row r="17" spans="3:14" ht="15" customHeight="1">
      <c r="D17" s="140" t="s">
        <v>2041</v>
      </c>
      <c r="N17" s="140" t="s">
        <v>2234</v>
      </c>
    </row>
    <row r="18" spans="3:14" ht="15" customHeight="1">
      <c r="D18" s="140" t="s">
        <v>2042</v>
      </c>
      <c r="N18" s="140" t="s">
        <v>2235</v>
      </c>
    </row>
    <row r="19" spans="3:14" ht="15" customHeight="1">
      <c r="C19" s="140" t="s">
        <v>287</v>
      </c>
      <c r="L19" s="139"/>
    </row>
    <row r="20" spans="3:14" ht="15" customHeight="1">
      <c r="D20" s="140" t="s">
        <v>286</v>
      </c>
    </row>
    <row r="21" spans="3:14" ht="15" customHeight="1">
      <c r="D21" s="140" t="s">
        <v>359</v>
      </c>
    </row>
    <row r="22" spans="3:14" ht="15" customHeight="1">
      <c r="D22" s="140" t="s">
        <v>775</v>
      </c>
    </row>
    <row r="23" spans="3:14" ht="15" customHeight="1">
      <c r="D23" s="140" t="s">
        <v>913</v>
      </c>
    </row>
    <row r="24" spans="3:14" ht="15" customHeight="1">
      <c r="D24" s="140" t="s">
        <v>914</v>
      </c>
    </row>
    <row r="25" spans="3:14" ht="15" customHeight="1">
      <c r="D25" s="140" t="s">
        <v>973</v>
      </c>
    </row>
    <row r="26" spans="3:14" ht="15" customHeight="1">
      <c r="D26" s="140" t="s">
        <v>972</v>
      </c>
    </row>
    <row r="27" spans="3:14" ht="15" customHeight="1">
      <c r="D27" s="140" t="s">
        <v>971</v>
      </c>
    </row>
    <row r="28" spans="3:14" ht="15" customHeight="1">
      <c r="D28" s="140" t="s">
        <v>970</v>
      </c>
    </row>
    <row r="29" spans="3:14" ht="15" customHeight="1">
      <c r="C29" s="140" t="s">
        <v>1188</v>
      </c>
    </row>
    <row r="30" spans="3:14" ht="15" customHeight="1">
      <c r="D30" s="140" t="s">
        <v>1198</v>
      </c>
    </row>
    <row r="31" spans="3:14" ht="15" customHeight="1">
      <c r="C31" s="140" t="s">
        <v>926</v>
      </c>
    </row>
    <row r="32" spans="3:14" ht="15" customHeight="1">
      <c r="D32" s="140" t="s">
        <v>928</v>
      </c>
    </row>
    <row r="33" spans="3:10" ht="15" customHeight="1">
      <c r="D33" s="140" t="s">
        <v>929</v>
      </c>
    </row>
    <row r="34" spans="3:10" ht="15" customHeight="1">
      <c r="D34" s="140" t="s">
        <v>930</v>
      </c>
    </row>
    <row r="35" spans="3:10" ht="15" customHeight="1">
      <c r="D35" s="140" t="s">
        <v>931</v>
      </c>
    </row>
    <row r="36" spans="3:10" ht="15" customHeight="1">
      <c r="D36" s="140" t="s">
        <v>932</v>
      </c>
    </row>
    <row r="37" spans="3:10" ht="15" customHeight="1">
      <c r="D37" s="140" t="s">
        <v>927</v>
      </c>
    </row>
    <row r="38" spans="3:10" ht="15" customHeight="1">
      <c r="D38" s="140" t="s">
        <v>933</v>
      </c>
    </row>
    <row r="39" spans="3:10" ht="15" customHeight="1">
      <c r="C39" s="140" t="s">
        <v>1196</v>
      </c>
    </row>
    <row r="40" spans="3:10" ht="15" customHeight="1">
      <c r="D40" s="140" t="s">
        <v>2560</v>
      </c>
    </row>
    <row r="41" spans="3:10" ht="15" customHeight="1">
      <c r="D41" s="140" t="s">
        <v>1199</v>
      </c>
    </row>
    <row r="42" spans="3:10" ht="15" customHeight="1">
      <c r="C42" s="140" t="s">
        <v>1118</v>
      </c>
    </row>
    <row r="43" spans="3:10" ht="15" customHeight="1">
      <c r="D43" s="140" t="s">
        <v>2484</v>
      </c>
      <c r="J43" s="141"/>
    </row>
    <row r="44" spans="3:10" ht="15" customHeight="1">
      <c r="C44" s="140" t="s">
        <v>1190</v>
      </c>
    </row>
    <row r="45" spans="3:10" ht="15" customHeight="1">
      <c r="C45" s="140" t="s">
        <v>1189</v>
      </c>
    </row>
    <row r="46" spans="3:10" ht="15" customHeight="1">
      <c r="C46" s="140" t="s">
        <v>1191</v>
      </c>
    </row>
    <row r="47" spans="3:10" ht="15" customHeight="1">
      <c r="C47" s="140" t="s">
        <v>1192</v>
      </c>
    </row>
    <row r="48" spans="3:10" ht="15" customHeight="1">
      <c r="C48" s="140" t="s">
        <v>2025</v>
      </c>
    </row>
    <row r="49" spans="3:4" ht="15" customHeight="1">
      <c r="C49" s="140" t="s">
        <v>2161</v>
      </c>
    </row>
    <row r="50" spans="3:4" ht="15" customHeight="1">
      <c r="D50" s="140" t="s">
        <v>2162</v>
      </c>
    </row>
    <row r="51" spans="3:4" ht="15" customHeight="1">
      <c r="D51" s="140" t="s">
        <v>2163</v>
      </c>
    </row>
    <row r="52" spans="3:4" ht="15" customHeight="1">
      <c r="C52" s="140" t="s">
        <v>425</v>
      </c>
    </row>
    <row r="53" spans="3:4" ht="15" customHeight="1">
      <c r="D53" s="140" t="s">
        <v>2776</v>
      </c>
    </row>
    <row r="54" spans="3:4" ht="15" customHeight="1">
      <c r="D54" s="140" t="s">
        <v>2774</v>
      </c>
    </row>
    <row r="55" spans="3:4" ht="15" customHeight="1">
      <c r="D55" s="140" t="s">
        <v>2773</v>
      </c>
    </row>
    <row r="56" spans="3:4" ht="15" customHeight="1">
      <c r="D56" s="140" t="s">
        <v>2772</v>
      </c>
    </row>
    <row r="57" spans="3:4" ht="15" customHeight="1">
      <c r="D57" s="140" t="s">
        <v>2771</v>
      </c>
    </row>
    <row r="58" spans="3:4" ht="15" customHeight="1">
      <c r="D58" s="140" t="s">
        <v>2770</v>
      </c>
    </row>
    <row r="59" spans="3:4" ht="15" customHeight="1">
      <c r="D59" s="140" t="s">
        <v>2769</v>
      </c>
    </row>
    <row r="60" spans="3:4" ht="15" customHeight="1">
      <c r="D60" s="140" t="s">
        <v>2768</v>
      </c>
    </row>
    <row r="61" spans="3:4" ht="15" customHeight="1">
      <c r="D61" s="140" t="s">
        <v>2767</v>
      </c>
    </row>
    <row r="62" spans="3:4" ht="15" customHeight="1">
      <c r="D62" s="140" t="s">
        <v>1166</v>
      </c>
    </row>
    <row r="63" spans="3:4" ht="15" customHeight="1">
      <c r="D63" s="140" t="s">
        <v>2766</v>
      </c>
    </row>
    <row r="64" spans="3:4" ht="15" customHeight="1">
      <c r="D64" s="140" t="s">
        <v>2759</v>
      </c>
    </row>
    <row r="65" spans="4:12" ht="15" customHeight="1">
      <c r="D65" s="140" t="s">
        <v>2765</v>
      </c>
    </row>
    <row r="66" spans="4:12" ht="15" customHeight="1">
      <c r="D66" s="140" t="s">
        <v>730</v>
      </c>
    </row>
    <row r="67" spans="4:12" ht="15" customHeight="1">
      <c r="D67" s="140" t="s">
        <v>731</v>
      </c>
    </row>
    <row r="68" spans="4:12" ht="15" customHeight="1">
      <c r="D68" s="140" t="s">
        <v>743</v>
      </c>
      <c r="J68" s="139"/>
      <c r="L68" s="141"/>
    </row>
    <row r="69" spans="4:12" ht="15" customHeight="1">
      <c r="D69" s="140" t="s">
        <v>822</v>
      </c>
    </row>
    <row r="70" spans="4:12" ht="15" customHeight="1">
      <c r="D70" s="140" t="s">
        <v>734</v>
      </c>
    </row>
    <row r="71" spans="4:12" ht="15" customHeight="1">
      <c r="D71" s="140" t="s">
        <v>780</v>
      </c>
    </row>
    <row r="72" spans="4:12" ht="15" customHeight="1">
      <c r="D72" s="140" t="s">
        <v>848</v>
      </c>
    </row>
    <row r="73" spans="4:12" ht="15" customHeight="1">
      <c r="D73" s="140" t="s">
        <v>865</v>
      </c>
    </row>
    <row r="74" spans="4:12" ht="15" customHeight="1">
      <c r="D74" s="140" t="s">
        <v>945</v>
      </c>
    </row>
    <row r="75" spans="4:12" ht="15" customHeight="1">
      <c r="D75" s="140" t="s">
        <v>902</v>
      </c>
    </row>
    <row r="76" spans="4:12" ht="15" customHeight="1">
      <c r="D76" s="140" t="s">
        <v>1042</v>
      </c>
    </row>
    <row r="77" spans="4:12" ht="15" customHeight="1">
      <c r="D77" s="140" t="s">
        <v>1114</v>
      </c>
    </row>
    <row r="78" spans="4:12" ht="15" customHeight="1">
      <c r="D78" s="140" t="s">
        <v>1115</v>
      </c>
    </row>
    <row r="79" spans="4:12" ht="15" customHeight="1">
      <c r="D79" s="140" t="s">
        <v>1155</v>
      </c>
    </row>
    <row r="80" spans="4:12" ht="15" customHeight="1">
      <c r="D80" s="140" t="s">
        <v>1166</v>
      </c>
    </row>
    <row r="81" spans="3:10" ht="15" customHeight="1">
      <c r="D81" s="140" t="s">
        <v>1193</v>
      </c>
    </row>
    <row r="82" spans="3:10" ht="15" customHeight="1">
      <c r="D82" s="140" t="s">
        <v>1195</v>
      </c>
    </row>
    <row r="83" spans="3:10" ht="15" customHeight="1">
      <c r="D83" s="140" t="s">
        <v>1194</v>
      </c>
    </row>
    <row r="84" spans="3:10" ht="15" customHeight="1">
      <c r="D84" s="140" t="s">
        <v>2026</v>
      </c>
    </row>
    <row r="85" spans="3:10" ht="15" customHeight="1">
      <c r="D85" s="140" t="s">
        <v>2027</v>
      </c>
    </row>
    <row r="86" spans="3:10" ht="15" customHeight="1">
      <c r="D86" s="140" t="s">
        <v>2028</v>
      </c>
    </row>
    <row r="87" spans="3:10" ht="15" customHeight="1">
      <c r="D87" s="140" t="s">
        <v>2047</v>
      </c>
    </row>
    <row r="88" spans="3:10" ht="15" customHeight="1">
      <c r="D88" s="140" t="s">
        <v>2051</v>
      </c>
    </row>
    <row r="89" spans="3:10" ht="15" customHeight="1">
      <c r="D89" s="140" t="s">
        <v>2087</v>
      </c>
    </row>
    <row r="90" spans="3:10" ht="15" customHeight="1">
      <c r="D90" s="140" t="s">
        <v>2485</v>
      </c>
    </row>
    <row r="91" spans="3:10" ht="15" customHeight="1">
      <c r="D91" s="140" t="s">
        <v>2524</v>
      </c>
    </row>
    <row r="92" spans="3:10" ht="15" customHeight="1">
      <c r="D92" s="140" t="s">
        <v>2785</v>
      </c>
      <c r="J92" s="139"/>
    </row>
    <row r="93" spans="3:10" ht="15" customHeight="1">
      <c r="D93" s="140" t="s">
        <v>887</v>
      </c>
      <c r="J93" s="139"/>
    </row>
    <row r="94" spans="3:10" ht="15" customHeight="1">
      <c r="D94" s="140" t="s">
        <v>2839</v>
      </c>
      <c r="J94" s="139"/>
    </row>
    <row r="95" spans="3:10" ht="15" customHeight="1">
      <c r="C95" s="140" t="s">
        <v>2164</v>
      </c>
      <c r="D95" s="140" t="s">
        <v>744</v>
      </c>
    </row>
    <row r="96" spans="3:10" ht="15" customHeight="1">
      <c r="C96" s="140" t="s">
        <v>2561</v>
      </c>
    </row>
    <row r="97" spans="1:13" ht="15" customHeight="1">
      <c r="C97" s="140" t="s">
        <v>394</v>
      </c>
      <c r="J97" s="141"/>
    </row>
    <row r="98" spans="1:13" ht="15" customHeight="1">
      <c r="D98" s="140" t="s">
        <v>395</v>
      </c>
    </row>
    <row r="99" spans="1:13" ht="15" customHeight="1">
      <c r="D99" s="140" t="s">
        <v>2501</v>
      </c>
    </row>
    <row r="100" spans="1:13" ht="15" customHeight="1">
      <c r="D100" s="140" t="s">
        <v>2407</v>
      </c>
      <c r="J100" s="141"/>
    </row>
    <row r="101" spans="1:13" ht="15" customHeight="1">
      <c r="D101" s="140" t="s">
        <v>396</v>
      </c>
      <c r="M101" s="144"/>
    </row>
    <row r="102" spans="1:13" ht="15" customHeight="1">
      <c r="A102" s="82">
        <v>2</v>
      </c>
      <c r="B102" s="140" t="s">
        <v>213</v>
      </c>
      <c r="E102" s="140" t="s">
        <v>710</v>
      </c>
      <c r="H102" s="139"/>
      <c r="I102" s="141"/>
      <c r="L102" s="139"/>
      <c r="M102" s="144"/>
    </row>
    <row r="103" spans="1:13" ht="15" customHeight="1">
      <c r="C103" s="140" t="s">
        <v>773</v>
      </c>
      <c r="M103" s="144"/>
    </row>
    <row r="104" spans="1:13" ht="15" customHeight="1">
      <c r="D104" s="140" t="s">
        <v>774</v>
      </c>
      <c r="M104" s="144"/>
    </row>
    <row r="105" spans="1:13" ht="15" customHeight="1">
      <c r="D105" s="140" t="s">
        <v>852</v>
      </c>
      <c r="M105" s="144"/>
    </row>
    <row r="106" spans="1:13" ht="15" customHeight="1">
      <c r="D106" s="140" t="s">
        <v>853</v>
      </c>
      <c r="M106" s="144"/>
    </row>
    <row r="107" spans="1:13" ht="15" customHeight="1">
      <c r="D107" s="140" t="s">
        <v>858</v>
      </c>
      <c r="M107" s="144"/>
    </row>
    <row r="108" spans="1:13" ht="15" customHeight="1">
      <c r="D108" s="140" t="s">
        <v>940</v>
      </c>
      <c r="M108" s="144"/>
    </row>
    <row r="109" spans="1:13" ht="15" customHeight="1">
      <c r="C109" s="140" t="s">
        <v>868</v>
      </c>
      <c r="M109" s="144"/>
    </row>
    <row r="110" spans="1:13" ht="15" customHeight="1">
      <c r="D110" s="140" t="s">
        <v>1057</v>
      </c>
      <c r="M110" s="144"/>
    </row>
    <row r="111" spans="1:13" ht="15" customHeight="1">
      <c r="D111" s="140" t="s">
        <v>992</v>
      </c>
      <c r="M111" s="144"/>
    </row>
    <row r="112" spans="1:13" ht="15" customHeight="1">
      <c r="D112" s="140" t="s">
        <v>1006</v>
      </c>
      <c r="M112" s="144"/>
    </row>
    <row r="113" spans="3:13" ht="15" customHeight="1">
      <c r="C113" s="140" t="s">
        <v>901</v>
      </c>
      <c r="M113" s="144"/>
    </row>
    <row r="114" spans="3:13" ht="15" customHeight="1">
      <c r="D114" s="140" t="s">
        <v>1123</v>
      </c>
      <c r="M114" s="144"/>
    </row>
    <row r="115" spans="3:13" ht="15" customHeight="1">
      <c r="D115" s="140" t="s">
        <v>1124</v>
      </c>
      <c r="M115" s="144"/>
    </row>
    <row r="116" spans="3:13" ht="15" customHeight="1">
      <c r="D116" s="140" t="s">
        <v>1131</v>
      </c>
      <c r="J116" s="139"/>
      <c r="M116" s="144"/>
    </row>
    <row r="117" spans="3:13" ht="15" customHeight="1">
      <c r="C117" s="140" t="s">
        <v>893</v>
      </c>
      <c r="M117" s="144"/>
    </row>
    <row r="118" spans="3:13" ht="15" customHeight="1">
      <c r="D118" s="140" t="s">
        <v>894</v>
      </c>
      <c r="M118" s="144"/>
    </row>
    <row r="119" spans="3:13" ht="15" customHeight="1">
      <c r="D119" s="140" t="s">
        <v>1143</v>
      </c>
      <c r="M119" s="144"/>
    </row>
    <row r="120" spans="3:13" ht="15" customHeight="1">
      <c r="D120" s="140" t="s">
        <v>1147</v>
      </c>
      <c r="M120" s="144"/>
    </row>
    <row r="121" spans="3:13" ht="15" customHeight="1">
      <c r="D121" s="140" t="s">
        <v>1148</v>
      </c>
      <c r="M121" s="144"/>
    </row>
    <row r="122" spans="3:13" ht="15" customHeight="1">
      <c r="D122" s="140" t="s">
        <v>1150</v>
      </c>
      <c r="M122" s="144"/>
    </row>
    <row r="123" spans="3:13" ht="15" customHeight="1">
      <c r="D123" s="140" t="s">
        <v>1146</v>
      </c>
      <c r="M123" s="144"/>
    </row>
    <row r="124" spans="3:13" ht="15" customHeight="1">
      <c r="C124" s="140" t="s">
        <v>817</v>
      </c>
      <c r="M124" s="144"/>
    </row>
    <row r="125" spans="3:13" ht="15" customHeight="1">
      <c r="D125" s="140" t="s">
        <v>915</v>
      </c>
      <c r="M125" s="144"/>
    </row>
    <row r="126" spans="3:13" ht="15" customHeight="1">
      <c r="C126" s="140" t="s">
        <v>818</v>
      </c>
      <c r="M126" s="144"/>
    </row>
    <row r="127" spans="3:13" ht="15" customHeight="1">
      <c r="C127" s="140" t="s">
        <v>854</v>
      </c>
      <c r="E127" s="140" t="s">
        <v>864</v>
      </c>
      <c r="J127" s="139"/>
      <c r="L127" s="139"/>
      <c r="M127" s="144"/>
    </row>
    <row r="128" spans="3:13" ht="15" customHeight="1">
      <c r="C128" s="140" t="s">
        <v>859</v>
      </c>
      <c r="E128" s="140" t="s">
        <v>864</v>
      </c>
      <c r="J128" s="139"/>
      <c r="L128" s="139"/>
      <c r="M128" s="144"/>
    </row>
    <row r="129" spans="1:13" ht="15" customHeight="1">
      <c r="C129" s="140" t="s">
        <v>855</v>
      </c>
      <c r="J129" s="139"/>
      <c r="M129" s="144"/>
    </row>
    <row r="130" spans="1:13" ht="15" customHeight="1">
      <c r="C130" s="140" t="s">
        <v>895</v>
      </c>
      <c r="M130" s="144"/>
    </row>
    <row r="131" spans="1:13" ht="15" customHeight="1">
      <c r="C131" s="140" t="s">
        <v>873</v>
      </c>
      <c r="M131" s="144"/>
    </row>
    <row r="132" spans="1:13" ht="15" customHeight="1">
      <c r="C132" s="140" t="s">
        <v>934</v>
      </c>
      <c r="J132" s="139"/>
      <c r="M132" s="144"/>
    </row>
    <row r="133" spans="1:13" ht="15" customHeight="1">
      <c r="C133" s="140" t="s">
        <v>967</v>
      </c>
      <c r="M133" s="144"/>
    </row>
    <row r="134" spans="1:13" ht="15" customHeight="1">
      <c r="D134" s="140" t="s">
        <v>968</v>
      </c>
      <c r="M134" s="144"/>
    </row>
    <row r="135" spans="1:13" ht="15" customHeight="1">
      <c r="D135" s="140" t="s">
        <v>969</v>
      </c>
      <c r="M135" s="144"/>
    </row>
    <row r="136" spans="1:13" ht="15" customHeight="1">
      <c r="D136" s="140" t="s">
        <v>935</v>
      </c>
      <c r="M136" s="144"/>
    </row>
    <row r="137" spans="1:13" ht="15" customHeight="1">
      <c r="D137" s="140" t="s">
        <v>974</v>
      </c>
      <c r="M137" s="144"/>
    </row>
    <row r="138" spans="1:13" ht="15" customHeight="1">
      <c r="D138" s="140" t="s">
        <v>975</v>
      </c>
      <c r="M138" s="144"/>
    </row>
    <row r="139" spans="1:13" ht="15" customHeight="1">
      <c r="C139" s="140" t="s">
        <v>965</v>
      </c>
      <c r="E139" s="140" t="s">
        <v>1169</v>
      </c>
      <c r="M139" s="144"/>
    </row>
    <row r="140" spans="1:13" ht="15" customHeight="1">
      <c r="C140" s="140" t="s">
        <v>964</v>
      </c>
      <c r="M140" s="144"/>
    </row>
    <row r="141" spans="1:13" ht="15" customHeight="1">
      <c r="C141" s="140" t="s">
        <v>873</v>
      </c>
      <c r="M141" s="144"/>
    </row>
    <row r="142" spans="1:13" ht="15" customHeight="1">
      <c r="D142" s="140" t="s">
        <v>276</v>
      </c>
      <c r="M142" s="144"/>
    </row>
    <row r="143" spans="1:13" ht="15" customHeight="1">
      <c r="A143" s="82">
        <v>3</v>
      </c>
      <c r="B143" s="140" t="s">
        <v>205</v>
      </c>
      <c r="C143" s="145"/>
      <c r="D143" s="145"/>
      <c r="E143" s="140" t="s">
        <v>2270</v>
      </c>
      <c r="F143" s="145"/>
      <c r="G143" s="145"/>
      <c r="H143" s="145"/>
      <c r="I143" s="145"/>
      <c r="J143" s="145"/>
      <c r="K143" s="145"/>
      <c r="L143" s="145"/>
      <c r="M143" s="144"/>
    </row>
    <row r="144" spans="1:13" ht="15" customHeight="1">
      <c r="B144" s="145"/>
      <c r="C144" s="145" t="s">
        <v>1125</v>
      </c>
      <c r="D144" s="145"/>
      <c r="E144" s="145"/>
      <c r="F144" s="145"/>
      <c r="G144" s="145"/>
      <c r="H144" s="145"/>
      <c r="I144" s="139"/>
      <c r="J144" s="145"/>
      <c r="K144" s="145"/>
      <c r="L144" s="145"/>
      <c r="M144" s="144"/>
    </row>
    <row r="145" spans="1:13" ht="15" customHeight="1">
      <c r="B145" s="145"/>
      <c r="C145" s="145" t="s">
        <v>276</v>
      </c>
      <c r="D145" s="145"/>
      <c r="E145" s="145"/>
      <c r="F145" s="145"/>
      <c r="G145" s="145"/>
      <c r="H145" s="145"/>
      <c r="I145" s="145"/>
      <c r="J145" s="145"/>
      <c r="K145" s="145"/>
      <c r="L145" s="145"/>
      <c r="M145" s="144"/>
    </row>
    <row r="146" spans="1:13" ht="15" customHeight="1">
      <c r="B146" s="145"/>
      <c r="C146" s="145"/>
      <c r="D146" s="145" t="s">
        <v>1187</v>
      </c>
      <c r="E146" s="145"/>
      <c r="F146" s="145"/>
      <c r="G146" s="145"/>
      <c r="H146" s="145"/>
      <c r="I146" s="145"/>
      <c r="J146" s="145"/>
      <c r="K146" s="145"/>
      <c r="L146" s="145"/>
      <c r="M146" s="144"/>
    </row>
    <row r="147" spans="1:13" ht="15" customHeight="1">
      <c r="B147" s="145"/>
      <c r="C147" s="145" t="s">
        <v>2073</v>
      </c>
      <c r="D147" s="145"/>
      <c r="E147" s="145"/>
      <c r="F147" s="145"/>
      <c r="G147" s="145"/>
      <c r="H147" s="145"/>
      <c r="I147" s="145"/>
      <c r="J147" s="145"/>
      <c r="K147" s="145"/>
      <c r="L147" s="145"/>
      <c r="M147" s="144"/>
    </row>
    <row r="148" spans="1:13" ht="15" customHeight="1">
      <c r="B148" s="145"/>
      <c r="C148" s="145" t="s">
        <v>2088</v>
      </c>
      <c r="D148" s="145"/>
      <c r="E148" s="145"/>
      <c r="F148" s="145"/>
      <c r="G148" s="145"/>
      <c r="H148" s="145"/>
      <c r="I148" s="145"/>
      <c r="J148" s="145"/>
      <c r="K148" s="145"/>
      <c r="L148" s="145"/>
      <c r="M148" s="144"/>
    </row>
    <row r="149" spans="1:13" ht="15" customHeight="1">
      <c r="A149" s="82">
        <v>4</v>
      </c>
      <c r="B149" s="140" t="s">
        <v>719</v>
      </c>
      <c r="E149" s="140" t="s">
        <v>2269</v>
      </c>
      <c r="L149" s="139"/>
      <c r="M149" s="144"/>
    </row>
    <row r="150" spans="1:13" ht="15" customHeight="1">
      <c r="C150" s="140" t="s">
        <v>414</v>
      </c>
      <c r="I150" s="141"/>
      <c r="L150" s="139"/>
      <c r="M150" s="144"/>
    </row>
    <row r="151" spans="1:13" ht="15" customHeight="1">
      <c r="C151" s="140" t="s">
        <v>417</v>
      </c>
      <c r="L151" s="139"/>
      <c r="M151" s="144"/>
    </row>
    <row r="152" spans="1:13" ht="15" customHeight="1">
      <c r="D152" s="140" t="s">
        <v>346</v>
      </c>
      <c r="I152" s="139"/>
      <c r="L152" s="139"/>
      <c r="M152" s="144"/>
    </row>
    <row r="153" spans="1:13" ht="15" customHeight="1">
      <c r="D153" s="140" t="s">
        <v>419</v>
      </c>
      <c r="L153" s="139"/>
      <c r="M153" s="144"/>
    </row>
    <row r="154" spans="1:13" ht="15" customHeight="1">
      <c r="D154" s="140" t="s">
        <v>418</v>
      </c>
      <c r="L154" s="139"/>
      <c r="M154" s="144"/>
    </row>
    <row r="155" spans="1:13" ht="15" customHeight="1">
      <c r="D155" s="140" t="s">
        <v>420</v>
      </c>
      <c r="L155" s="139"/>
      <c r="M155" s="144"/>
    </row>
    <row r="156" spans="1:13" ht="15" customHeight="1">
      <c r="D156" s="140" t="s">
        <v>486</v>
      </c>
      <c r="L156" s="139"/>
      <c r="M156" s="144"/>
    </row>
    <row r="157" spans="1:13" ht="15" customHeight="1">
      <c r="D157" s="140" t="s">
        <v>456</v>
      </c>
      <c r="L157" s="139"/>
      <c r="M157" s="144"/>
    </row>
    <row r="158" spans="1:13" ht="15" customHeight="1">
      <c r="D158" s="140" t="s">
        <v>457</v>
      </c>
      <c r="L158" s="139"/>
      <c r="M158" s="144"/>
    </row>
    <row r="159" spans="1:13" ht="15" customHeight="1">
      <c r="D159" s="140" t="s">
        <v>458</v>
      </c>
      <c r="L159" s="139"/>
      <c r="M159" s="144"/>
    </row>
    <row r="160" spans="1:13" ht="15" customHeight="1">
      <c r="D160" s="140" t="s">
        <v>517</v>
      </c>
      <c r="M160" s="144"/>
    </row>
    <row r="161" spans="3:13" ht="15" customHeight="1">
      <c r="D161" s="140" t="s">
        <v>2585</v>
      </c>
      <c r="M161" s="144"/>
    </row>
    <row r="162" spans="3:13" ht="15" customHeight="1">
      <c r="D162" s="140" t="s">
        <v>2586</v>
      </c>
      <c r="M162" s="144"/>
    </row>
    <row r="163" spans="3:13" ht="15" customHeight="1">
      <c r="D163" s="140" t="s">
        <v>2581</v>
      </c>
      <c r="M163" s="144"/>
    </row>
    <row r="164" spans="3:13" ht="15" customHeight="1">
      <c r="D164" s="140" t="s">
        <v>2636</v>
      </c>
      <c r="M164" s="144"/>
    </row>
    <row r="165" spans="3:13" ht="15" customHeight="1">
      <c r="D165" s="140" t="s">
        <v>2640</v>
      </c>
      <c r="M165" s="144"/>
    </row>
    <row r="166" spans="3:13" ht="15" customHeight="1">
      <c r="D166" s="140" t="s">
        <v>2669</v>
      </c>
      <c r="M166" s="144"/>
    </row>
    <row r="167" spans="3:13" ht="15" customHeight="1">
      <c r="D167" s="140" t="s">
        <v>2701</v>
      </c>
      <c r="M167" s="144"/>
    </row>
    <row r="168" spans="3:13" ht="15" customHeight="1">
      <c r="C168" s="140" t="s">
        <v>439</v>
      </c>
      <c r="M168" s="144"/>
    </row>
    <row r="169" spans="3:13" ht="15" customHeight="1">
      <c r="D169" s="140" t="s">
        <v>463</v>
      </c>
      <c r="M169" s="144"/>
    </row>
    <row r="170" spans="3:13" ht="15" customHeight="1">
      <c r="D170" s="140" t="s">
        <v>438</v>
      </c>
      <c r="M170" s="144"/>
    </row>
    <row r="171" spans="3:13" ht="15" customHeight="1">
      <c r="D171" s="140" t="s">
        <v>437</v>
      </c>
      <c r="M171" s="144"/>
    </row>
    <row r="172" spans="3:13" ht="15" customHeight="1">
      <c r="D172" s="140" t="s">
        <v>455</v>
      </c>
      <c r="M172" s="144"/>
    </row>
    <row r="173" spans="3:13" ht="15" customHeight="1">
      <c r="D173" s="140" t="s">
        <v>2696</v>
      </c>
      <c r="M173" s="144"/>
    </row>
    <row r="174" spans="3:13" ht="15" customHeight="1">
      <c r="D174" s="140" t="s">
        <v>2697</v>
      </c>
      <c r="M174" s="144"/>
    </row>
    <row r="175" spans="3:13" ht="15" customHeight="1">
      <c r="D175" s="140" t="s">
        <v>440</v>
      </c>
      <c r="M175" s="144"/>
    </row>
    <row r="176" spans="3:13" ht="15" customHeight="1">
      <c r="D176" s="140" t="s">
        <v>2698</v>
      </c>
      <c r="M176" s="144"/>
    </row>
    <row r="177" spans="3:13" ht="15" customHeight="1">
      <c r="D177" s="140" t="s">
        <v>2699</v>
      </c>
      <c r="M177" s="144"/>
    </row>
    <row r="178" spans="3:13" ht="15" customHeight="1">
      <c r="D178" s="140" t="s">
        <v>2700</v>
      </c>
      <c r="M178" s="144"/>
    </row>
    <row r="179" spans="3:13" ht="15" customHeight="1">
      <c r="C179" s="140" t="s">
        <v>413</v>
      </c>
      <c r="L179" s="139"/>
      <c r="M179" s="144"/>
    </row>
    <row r="180" spans="3:13" ht="14.5" customHeight="1">
      <c r="D180" s="140" t="s">
        <v>515</v>
      </c>
      <c r="L180" s="139"/>
    </row>
    <row r="181" spans="3:13" ht="15" customHeight="1">
      <c r="D181" s="140" t="s">
        <v>514</v>
      </c>
      <c r="L181" s="139"/>
    </row>
    <row r="182" spans="3:13" ht="15" customHeight="1">
      <c r="D182" s="140" t="s">
        <v>415</v>
      </c>
      <c r="L182" s="139"/>
    </row>
    <row r="183" spans="3:13" ht="15" customHeight="1">
      <c r="D183" s="140" t="s">
        <v>513</v>
      </c>
    </row>
    <row r="184" spans="3:13" ht="15" customHeight="1">
      <c r="D184" s="140" t="s">
        <v>2667</v>
      </c>
      <c r="J184" s="141"/>
    </row>
    <row r="185" spans="3:13" ht="15" customHeight="1">
      <c r="C185" s="140" t="s">
        <v>412</v>
      </c>
      <c r="L185" s="139"/>
    </row>
    <row r="186" spans="3:13" ht="15" customHeight="1">
      <c r="D186" s="140" t="s">
        <v>507</v>
      </c>
      <c r="L186" s="139"/>
    </row>
    <row r="187" spans="3:13" ht="15" customHeight="1">
      <c r="D187" s="140" t="s">
        <v>508</v>
      </c>
      <c r="L187" s="139"/>
    </row>
    <row r="188" spans="3:13" ht="15" customHeight="1">
      <c r="D188" s="140" t="s">
        <v>509</v>
      </c>
      <c r="L188" s="139"/>
    </row>
    <row r="189" spans="3:13" ht="15" customHeight="1">
      <c r="D189" s="140" t="s">
        <v>2146</v>
      </c>
    </row>
    <row r="190" spans="3:13" ht="15" customHeight="1">
      <c r="C190" s="140" t="s">
        <v>512</v>
      </c>
      <c r="J190" s="141"/>
    </row>
    <row r="191" spans="3:13" ht="15" customHeight="1">
      <c r="C191" s="140" t="s">
        <v>425</v>
      </c>
    </row>
    <row r="192" spans="3:13" ht="15" customHeight="1">
      <c r="D192" s="140" t="s">
        <v>426</v>
      </c>
    </row>
    <row r="193" spans="3:4" ht="15" customHeight="1">
      <c r="D193" s="140" t="s">
        <v>427</v>
      </c>
    </row>
    <row r="194" spans="3:4" ht="15" customHeight="1">
      <c r="D194" s="140" t="s">
        <v>428</v>
      </c>
    </row>
    <row r="195" spans="3:4" ht="15" customHeight="1">
      <c r="D195" s="140" t="s">
        <v>429</v>
      </c>
    </row>
    <row r="196" spans="3:4" ht="15" customHeight="1">
      <c r="D196" s="140" t="s">
        <v>430</v>
      </c>
    </row>
    <row r="197" spans="3:4" ht="15" customHeight="1">
      <c r="D197" s="140" t="s">
        <v>431</v>
      </c>
    </row>
    <row r="198" spans="3:4" ht="15" customHeight="1">
      <c r="D198" s="140" t="s">
        <v>432</v>
      </c>
    </row>
    <row r="199" spans="3:4" ht="15" customHeight="1">
      <c r="C199" s="140" t="s">
        <v>459</v>
      </c>
    </row>
    <row r="200" spans="3:4" ht="15" customHeight="1">
      <c r="D200" s="140" t="s">
        <v>460</v>
      </c>
    </row>
    <row r="201" spans="3:4" ht="15" customHeight="1">
      <c r="C201" s="140" t="s">
        <v>468</v>
      </c>
    </row>
    <row r="202" spans="3:4" ht="15" customHeight="1">
      <c r="C202" s="140" t="s">
        <v>469</v>
      </c>
    </row>
    <row r="203" spans="3:4" ht="15" customHeight="1">
      <c r="D203" s="140" t="s">
        <v>2074</v>
      </c>
    </row>
    <row r="204" spans="3:4" ht="15" customHeight="1">
      <c r="D204" s="140" t="s">
        <v>2284</v>
      </c>
    </row>
    <row r="205" spans="3:4" ht="15" customHeight="1">
      <c r="D205" s="140" t="s">
        <v>2285</v>
      </c>
    </row>
    <row r="206" spans="3:4" ht="15" customHeight="1">
      <c r="D206" s="171" t="s">
        <v>2374</v>
      </c>
    </row>
    <row r="207" spans="3:4" ht="15" customHeight="1">
      <c r="C207" s="140" t="s">
        <v>581</v>
      </c>
    </row>
    <row r="208" spans="3:4" ht="15" customHeight="1">
      <c r="D208" s="140" t="s">
        <v>2557</v>
      </c>
    </row>
    <row r="209" spans="3:12" ht="15" customHeight="1">
      <c r="D209" s="140" t="s">
        <v>2558</v>
      </c>
    </row>
    <row r="210" spans="3:12" ht="15" customHeight="1">
      <c r="D210" s="140" t="s">
        <v>2575</v>
      </c>
    </row>
    <row r="211" spans="3:12" ht="15" customHeight="1">
      <c r="C211" s="140" t="s">
        <v>470</v>
      </c>
    </row>
    <row r="212" spans="3:12" ht="15" customHeight="1">
      <c r="C212" s="140" t="s">
        <v>685</v>
      </c>
    </row>
    <row r="213" spans="3:12" ht="15" customHeight="1">
      <c r="D213" s="140" t="s">
        <v>720</v>
      </c>
    </row>
    <row r="214" spans="3:12" ht="15" customHeight="1">
      <c r="D214" s="140" t="s">
        <v>686</v>
      </c>
      <c r="E214" s="140" t="s">
        <v>684</v>
      </c>
      <c r="L214" s="139"/>
    </row>
    <row r="215" spans="3:12" ht="15" customHeight="1">
      <c r="C215" s="140" t="s">
        <v>981</v>
      </c>
    </row>
    <row r="216" spans="3:12" ht="15" customHeight="1">
      <c r="D216" s="140" t="s">
        <v>982</v>
      </c>
      <c r="J216" s="141"/>
    </row>
    <row r="217" spans="3:12" ht="15" customHeight="1">
      <c r="C217" s="140" t="s">
        <v>2075</v>
      </c>
    </row>
    <row r="218" spans="3:12" ht="15" customHeight="1">
      <c r="D218" s="140" t="s">
        <v>2076</v>
      </c>
    </row>
    <row r="219" spans="3:12" ht="15" customHeight="1">
      <c r="C219" s="140" t="s">
        <v>2077</v>
      </c>
    </row>
    <row r="220" spans="3:12" ht="15" customHeight="1">
      <c r="C220" s="140" t="s">
        <v>2229</v>
      </c>
    </row>
    <row r="221" spans="3:12" ht="15" customHeight="1">
      <c r="C221" s="140" t="s">
        <v>2277</v>
      </c>
    </row>
    <row r="222" spans="3:12" ht="15" customHeight="1">
      <c r="C222" s="140" t="s">
        <v>2289</v>
      </c>
    </row>
    <row r="223" spans="3:12" ht="15" customHeight="1">
      <c r="C223" s="140" t="s">
        <v>492</v>
      </c>
    </row>
    <row r="224" spans="3:12" ht="15" customHeight="1">
      <c r="C224" s="140" t="s">
        <v>2368</v>
      </c>
    </row>
    <row r="225" spans="1:12" ht="15" customHeight="1">
      <c r="C225" s="140" t="s">
        <v>2299</v>
      </c>
    </row>
    <row r="226" spans="1:12" ht="15" customHeight="1">
      <c r="C226" s="140" t="s">
        <v>2482</v>
      </c>
    </row>
    <row r="227" spans="1:12" ht="15" customHeight="1">
      <c r="C227" s="140" t="s">
        <v>2596</v>
      </c>
    </row>
    <row r="228" spans="1:12" ht="15" customHeight="1">
      <c r="D228" s="140" t="s">
        <v>2597</v>
      </c>
    </row>
    <row r="229" spans="1:12" ht="15" customHeight="1">
      <c r="D229" s="140" t="s">
        <v>2598</v>
      </c>
    </row>
    <row r="230" spans="1:12" ht="15" customHeight="1">
      <c r="D230" s="140" t="s">
        <v>2599</v>
      </c>
    </row>
    <row r="231" spans="1:12" ht="15" customHeight="1">
      <c r="C231" s="140" t="s">
        <v>2600</v>
      </c>
    </row>
    <row r="232" spans="1:12" ht="15" customHeight="1">
      <c r="C232" s="140" t="s">
        <v>2602</v>
      </c>
    </row>
    <row r="233" spans="1:12" ht="15" customHeight="1">
      <c r="D233" s="140" t="s">
        <v>2601</v>
      </c>
    </row>
    <row r="234" spans="1:12" ht="15" customHeight="1">
      <c r="C234" s="140" t="s">
        <v>2702</v>
      </c>
    </row>
    <row r="235" spans="1:12" ht="15" customHeight="1">
      <c r="D235" s="140" t="s">
        <v>2703</v>
      </c>
    </row>
    <row r="236" spans="1:12" ht="15" customHeight="1">
      <c r="A236" s="82">
        <v>5</v>
      </c>
      <c r="B236" s="171" t="s">
        <v>305</v>
      </c>
      <c r="L236" s="139"/>
    </row>
    <row r="237" spans="1:12" ht="15" customHeight="1">
      <c r="B237" s="171"/>
      <c r="C237" s="140" t="s">
        <v>2488</v>
      </c>
    </row>
    <row r="238" spans="1:12" ht="15" customHeight="1">
      <c r="B238" s="171"/>
      <c r="C238" s="140" t="s">
        <v>2501</v>
      </c>
    </row>
    <row r="239" spans="1:12" ht="15" customHeight="1">
      <c r="A239" s="82">
        <v>6</v>
      </c>
      <c r="B239" s="171" t="s">
        <v>209</v>
      </c>
      <c r="H239" s="141"/>
    </row>
    <row r="240" spans="1:12" ht="15" customHeight="1">
      <c r="C240" s="140" t="s">
        <v>411</v>
      </c>
      <c r="L240" s="139"/>
    </row>
    <row r="241" spans="1:12" ht="15" customHeight="1">
      <c r="D241" s="140" t="s">
        <v>2704</v>
      </c>
    </row>
    <row r="242" spans="1:12" ht="15" customHeight="1">
      <c r="C242" s="140" t="s">
        <v>241</v>
      </c>
    </row>
    <row r="243" spans="1:12" ht="15" customHeight="1">
      <c r="C243" s="140" t="s">
        <v>416</v>
      </c>
    </row>
    <row r="244" spans="1:12" ht="15" customHeight="1">
      <c r="C244" s="140" t="s">
        <v>653</v>
      </c>
    </row>
    <row r="245" spans="1:12" ht="15" customHeight="1">
      <c r="C245" s="140" t="s">
        <v>2603</v>
      </c>
    </row>
    <row r="246" spans="1:12" ht="15" customHeight="1">
      <c r="D246" s="140" t="s">
        <v>2578</v>
      </c>
    </row>
    <row r="247" spans="1:12" ht="15" customHeight="1">
      <c r="C247" s="140" t="s">
        <v>2463</v>
      </c>
    </row>
    <row r="248" spans="1:12" ht="15" customHeight="1">
      <c r="A248" s="82">
        <v>7</v>
      </c>
      <c r="B248" s="140" t="s">
        <v>207</v>
      </c>
      <c r="E248" s="140" t="s">
        <v>1169</v>
      </c>
      <c r="L248" s="139"/>
    </row>
    <row r="249" spans="1:12" ht="15" customHeight="1">
      <c r="C249" s="140" t="s">
        <v>1183</v>
      </c>
      <c r="G249" s="141"/>
    </row>
    <row r="250" spans="1:12" ht="15" customHeight="1">
      <c r="D250" s="140" t="s">
        <v>2691</v>
      </c>
      <c r="G250" s="141"/>
    </row>
    <row r="251" spans="1:12" ht="15" customHeight="1">
      <c r="D251" s="140" t="s">
        <v>2651</v>
      </c>
      <c r="G251" s="139"/>
    </row>
    <row r="252" spans="1:12" ht="15" customHeight="1">
      <c r="D252" s="140" t="s">
        <v>2652</v>
      </c>
    </row>
    <row r="253" spans="1:12" ht="15" customHeight="1">
      <c r="D253" s="140" t="s">
        <v>2793</v>
      </c>
    </row>
    <row r="254" spans="1:12" ht="15" customHeight="1">
      <c r="C254" s="140" t="s">
        <v>1182</v>
      </c>
    </row>
    <row r="255" spans="1:12" ht="15" customHeight="1">
      <c r="D255" s="140" t="s">
        <v>2179</v>
      </c>
    </row>
    <row r="256" spans="1:12" ht="15" customHeight="1">
      <c r="D256" s="140" t="s">
        <v>2236</v>
      </c>
    </row>
    <row r="257" spans="3:6" ht="15" customHeight="1">
      <c r="D257" s="140" t="s">
        <v>2259</v>
      </c>
    </row>
    <row r="258" spans="3:6" ht="15" customHeight="1">
      <c r="D258" s="140" t="s">
        <v>2354</v>
      </c>
    </row>
    <row r="259" spans="3:6" ht="15" customHeight="1">
      <c r="D259" s="140" t="s">
        <v>2279</v>
      </c>
    </row>
    <row r="260" spans="3:6" ht="15" customHeight="1">
      <c r="D260" s="140" t="s">
        <v>2311</v>
      </c>
    </row>
    <row r="261" spans="3:6" ht="15" customHeight="1">
      <c r="D261" s="140" t="s">
        <v>2278</v>
      </c>
    </row>
    <row r="262" spans="3:6" ht="15" customHeight="1">
      <c r="D262" s="140" t="s">
        <v>2166</v>
      </c>
    </row>
    <row r="263" spans="3:6" ht="15" customHeight="1">
      <c r="D263" s="140" t="s">
        <v>2309</v>
      </c>
    </row>
    <row r="264" spans="3:6" ht="15" customHeight="1">
      <c r="D264" s="140" t="s">
        <v>2298</v>
      </c>
    </row>
    <row r="265" spans="3:6" ht="15" customHeight="1">
      <c r="C265" s="140" t="s">
        <v>474</v>
      </c>
      <c r="F265" s="140" t="s">
        <v>744</v>
      </c>
    </row>
    <row r="266" spans="3:6" ht="15" customHeight="1">
      <c r="C266" s="140" t="s">
        <v>696</v>
      </c>
    </row>
    <row r="267" spans="3:6" ht="15" customHeight="1">
      <c r="C267" s="140" t="s">
        <v>1171</v>
      </c>
    </row>
    <row r="268" spans="3:6" ht="15" customHeight="1">
      <c r="C268" s="140" t="s">
        <v>1172</v>
      </c>
    </row>
    <row r="269" spans="3:6" ht="15" customHeight="1">
      <c r="C269" s="140" t="s">
        <v>1179</v>
      </c>
    </row>
    <row r="270" spans="3:6" ht="15" customHeight="1">
      <c r="D270" s="140" t="s">
        <v>1197</v>
      </c>
    </row>
    <row r="271" spans="3:6" ht="15" customHeight="1">
      <c r="C271" s="140" t="s">
        <v>1173</v>
      </c>
    </row>
    <row r="272" spans="3:6" ht="15" customHeight="1">
      <c r="C272" s="140" t="s">
        <v>1175</v>
      </c>
    </row>
    <row r="273" spans="3:7" ht="15" customHeight="1">
      <c r="C273" s="140" t="s">
        <v>1174</v>
      </c>
    </row>
    <row r="274" spans="3:7" ht="15" customHeight="1">
      <c r="C274" s="140" t="s">
        <v>2412</v>
      </c>
    </row>
    <row r="275" spans="3:7" ht="15" customHeight="1">
      <c r="D275" s="140" t="s">
        <v>2448</v>
      </c>
    </row>
    <row r="276" spans="3:7" ht="15" customHeight="1">
      <c r="D276" s="140" t="s">
        <v>2141</v>
      </c>
    </row>
    <row r="277" spans="3:7" ht="15" customHeight="1">
      <c r="D277" s="140" t="s">
        <v>2415</v>
      </c>
    </row>
    <row r="278" spans="3:7" ht="15" customHeight="1">
      <c r="D278" s="140" t="s">
        <v>2500</v>
      </c>
      <c r="G278" s="141"/>
    </row>
    <row r="279" spans="3:7" ht="15" customHeight="1">
      <c r="D279" s="140" t="s">
        <v>2525</v>
      </c>
      <c r="G279" s="139"/>
    </row>
    <row r="280" spans="3:7" ht="15" customHeight="1">
      <c r="D280" s="140" t="s">
        <v>2489</v>
      </c>
    </row>
    <row r="281" spans="3:7" ht="15" customHeight="1">
      <c r="C281" s="140" t="s">
        <v>1180</v>
      </c>
    </row>
    <row r="282" spans="3:7" ht="15" customHeight="1">
      <c r="C282" s="140" t="s">
        <v>1181</v>
      </c>
    </row>
    <row r="283" spans="3:7" ht="15" customHeight="1">
      <c r="C283" s="140" t="s">
        <v>2102</v>
      </c>
    </row>
    <row r="284" spans="3:7" ht="15" customHeight="1">
      <c r="D284" s="140" t="s">
        <v>677</v>
      </c>
    </row>
    <row r="285" spans="3:7" ht="15" customHeight="1">
      <c r="C285" s="140" t="s">
        <v>1184</v>
      </c>
    </row>
    <row r="286" spans="3:7" ht="15" customHeight="1">
      <c r="C286" s="140" t="s">
        <v>2043</v>
      </c>
    </row>
    <row r="287" spans="3:7" ht="15" customHeight="1">
      <c r="D287" s="140" t="s">
        <v>2650</v>
      </c>
    </row>
    <row r="288" spans="3:7" ht="15" customHeight="1">
      <c r="C288" s="140" t="s">
        <v>1185</v>
      </c>
    </row>
    <row r="289" spans="3:10" ht="15" customHeight="1">
      <c r="C289" s="140" t="s">
        <v>415</v>
      </c>
    </row>
    <row r="290" spans="3:10" ht="15" customHeight="1">
      <c r="C290" s="140" t="s">
        <v>893</v>
      </c>
      <c r="J290" s="139"/>
    </row>
    <row r="291" spans="3:10" ht="15" customHeight="1">
      <c r="D291" s="140" t="s">
        <v>2124</v>
      </c>
      <c r="E291" s="140" t="s">
        <v>2413</v>
      </c>
      <c r="J291" s="139"/>
    </row>
    <row r="292" spans="3:10" ht="15" customHeight="1">
      <c r="C292" s="140" t="s">
        <v>1186</v>
      </c>
    </row>
    <row r="293" spans="3:10" ht="15" customHeight="1">
      <c r="C293" s="140" t="s">
        <v>2123</v>
      </c>
    </row>
    <row r="294" spans="3:10" ht="15" customHeight="1">
      <c r="C294" s="140" t="s">
        <v>2139</v>
      </c>
    </row>
    <row r="295" spans="3:10" ht="15" customHeight="1">
      <c r="C295" s="140" t="s">
        <v>2105</v>
      </c>
    </row>
    <row r="296" spans="3:10" ht="15" customHeight="1">
      <c r="C296" s="140" t="s">
        <v>2792</v>
      </c>
      <c r="G296" s="139"/>
    </row>
    <row r="297" spans="3:10" ht="15" customHeight="1">
      <c r="D297" s="140" t="s">
        <v>2795</v>
      </c>
      <c r="E297" s="140" t="s">
        <v>2796</v>
      </c>
    </row>
    <row r="298" spans="3:10" ht="15" customHeight="1">
      <c r="C298" s="140" t="s">
        <v>2125</v>
      </c>
      <c r="J298" s="139"/>
    </row>
    <row r="299" spans="3:10" ht="15" customHeight="1">
      <c r="C299" s="140" t="s">
        <v>2106</v>
      </c>
    </row>
    <row r="300" spans="3:10" ht="15" customHeight="1">
      <c r="C300" s="140" t="s">
        <v>2177</v>
      </c>
      <c r="I300" s="139"/>
    </row>
    <row r="301" spans="3:10" ht="15" customHeight="1">
      <c r="C301" s="140" t="s">
        <v>2450</v>
      </c>
    </row>
    <row r="302" spans="3:10" ht="15" customHeight="1">
      <c r="C302" s="140" t="s">
        <v>2228</v>
      </c>
    </row>
    <row r="303" spans="3:10" ht="15" customHeight="1">
      <c r="C303" s="140" t="s">
        <v>2843</v>
      </c>
      <c r="G303" s="141"/>
    </row>
    <row r="304" spans="3:10" ht="15" customHeight="1">
      <c r="D304" s="140" t="s">
        <v>2846</v>
      </c>
      <c r="G304" s="139"/>
    </row>
    <row r="305" spans="1:12" ht="15" customHeight="1">
      <c r="A305" s="82">
        <v>8</v>
      </c>
      <c r="B305" s="140" t="s">
        <v>212</v>
      </c>
      <c r="E305" s="140" t="s">
        <v>658</v>
      </c>
      <c r="L305" s="139"/>
    </row>
    <row r="306" spans="1:12" ht="15" customHeight="1">
      <c r="C306" s="140" t="s">
        <v>238</v>
      </c>
      <c r="L306" s="139"/>
    </row>
    <row r="307" spans="1:12" ht="15" customHeight="1">
      <c r="C307" s="169" t="s">
        <v>2291</v>
      </c>
      <c r="L307" s="139"/>
    </row>
    <row r="308" spans="1:12" ht="15" customHeight="1">
      <c r="C308" s="169" t="s">
        <v>2362</v>
      </c>
    </row>
    <row r="309" spans="1:12" ht="15" customHeight="1">
      <c r="A309" s="82">
        <v>9</v>
      </c>
      <c r="B309" s="140" t="s">
        <v>206</v>
      </c>
      <c r="E309" s="140" t="s">
        <v>882</v>
      </c>
      <c r="J309" s="141"/>
    </row>
    <row r="310" spans="1:12" ht="15" customHeight="1">
      <c r="C310" s="140" t="s">
        <v>850</v>
      </c>
    </row>
    <row r="311" spans="1:12" ht="15" customHeight="1">
      <c r="C311" s="140" t="s">
        <v>736</v>
      </c>
    </row>
    <row r="312" spans="1:12" ht="15" customHeight="1">
      <c r="C312" s="140" t="s">
        <v>735</v>
      </c>
    </row>
    <row r="313" spans="1:12" ht="15" customHeight="1">
      <c r="C313" s="140" t="s">
        <v>2687</v>
      </c>
    </row>
    <row r="314" spans="1:12" ht="15" customHeight="1">
      <c r="C314" s="140" t="s">
        <v>2688</v>
      </c>
    </row>
    <row r="315" spans="1:12" ht="15" customHeight="1">
      <c r="D315" s="140" t="s">
        <v>2689</v>
      </c>
    </row>
    <row r="316" spans="1:12" ht="15" customHeight="1">
      <c r="A316" s="82">
        <v>10</v>
      </c>
      <c r="B316" s="171" t="s">
        <v>211</v>
      </c>
      <c r="E316" s="140" t="s">
        <v>2271</v>
      </c>
      <c r="L316" s="139"/>
    </row>
    <row r="317" spans="1:12" ht="15" customHeight="1">
      <c r="C317" s="140" t="s">
        <v>442</v>
      </c>
    </row>
    <row r="318" spans="1:12" ht="15" customHeight="1">
      <c r="D318" s="140" t="s">
        <v>941</v>
      </c>
    </row>
    <row r="319" spans="1:12" ht="15" customHeight="1">
      <c r="C319" s="140" t="s">
        <v>346</v>
      </c>
      <c r="L319" s="139"/>
    </row>
    <row r="320" spans="1:12" ht="15" customHeight="1">
      <c r="D320" s="140" t="s">
        <v>2584</v>
      </c>
    </row>
    <row r="321" spans="1:10" ht="15" customHeight="1">
      <c r="D321" s="140" t="s">
        <v>2615</v>
      </c>
    </row>
    <row r="322" spans="1:10" ht="15" customHeight="1">
      <c r="D322" s="140" t="s">
        <v>2690</v>
      </c>
      <c r="J322" s="141"/>
    </row>
    <row r="323" spans="1:10" ht="15" customHeight="1">
      <c r="D323" s="140" t="s">
        <v>2583</v>
      </c>
    </row>
    <row r="324" spans="1:10" ht="15" customHeight="1">
      <c r="C324" s="140" t="s">
        <v>2588</v>
      </c>
    </row>
    <row r="325" spans="1:10" ht="15" customHeight="1">
      <c r="D325" s="140" t="s">
        <v>2587</v>
      </c>
    </row>
    <row r="326" spans="1:10" ht="15" customHeight="1">
      <c r="C326" s="140" t="s">
        <v>2641</v>
      </c>
    </row>
    <row r="327" spans="1:10" ht="15" customHeight="1">
      <c r="D327" s="140" t="s">
        <v>2642</v>
      </c>
    </row>
    <row r="328" spans="1:10" ht="15" customHeight="1">
      <c r="D328" s="140" t="s">
        <v>2643</v>
      </c>
    </row>
    <row r="329" spans="1:10" ht="15" customHeight="1">
      <c r="D329" s="140" t="s">
        <v>979</v>
      </c>
    </row>
    <row r="330" spans="1:10" ht="15" customHeight="1">
      <c r="C330" s="140" t="s">
        <v>2675</v>
      </c>
    </row>
    <row r="331" spans="1:10" ht="15" customHeight="1">
      <c r="A331" s="82">
        <v>11</v>
      </c>
      <c r="B331" s="140" t="s">
        <v>214</v>
      </c>
      <c r="E331" s="140" t="s">
        <v>2272</v>
      </c>
      <c r="H331" s="141"/>
    </row>
    <row r="332" spans="1:10" ht="15" customHeight="1">
      <c r="A332" s="82">
        <v>12</v>
      </c>
      <c r="B332" s="171" t="s">
        <v>2114</v>
      </c>
    </row>
    <row r="333" spans="1:10" ht="15" customHeight="1">
      <c r="C333" s="140" t="s">
        <v>241</v>
      </c>
    </row>
    <row r="334" spans="1:10" ht="15" customHeight="1">
      <c r="C334" s="140" t="s">
        <v>2303</v>
      </c>
    </row>
    <row r="335" spans="1:10" ht="15" customHeight="1">
      <c r="C335" s="140" t="s">
        <v>2577</v>
      </c>
    </row>
    <row r="336" spans="1:10" ht="15" customHeight="1">
      <c r="C336" s="140" t="s">
        <v>2612</v>
      </c>
    </row>
    <row r="337" spans="1:10" ht="15" customHeight="1">
      <c r="A337" s="82">
        <v>13</v>
      </c>
      <c r="B337" s="140" t="s">
        <v>210</v>
      </c>
    </row>
    <row r="338" spans="1:10" ht="15" customHeight="1">
      <c r="A338" s="82">
        <v>14</v>
      </c>
      <c r="B338" s="140" t="s">
        <v>250</v>
      </c>
      <c r="E338" s="140" t="s">
        <v>659</v>
      </c>
    </row>
    <row r="339" spans="1:10" ht="15" customHeight="1">
      <c r="C339" s="140" t="s">
        <v>307</v>
      </c>
    </row>
    <row r="340" spans="1:10" ht="15" customHeight="1">
      <c r="C340" s="140" t="s">
        <v>406</v>
      </c>
    </row>
    <row r="341" spans="1:10" ht="15" customHeight="1">
      <c r="A341" s="82">
        <v>15</v>
      </c>
      <c r="B341" s="140" t="s">
        <v>203</v>
      </c>
      <c r="E341" s="146" t="s">
        <v>2114</v>
      </c>
    </row>
    <row r="342" spans="1:10" ht="15" customHeight="1">
      <c r="C342" s="140" t="s">
        <v>2293</v>
      </c>
      <c r="E342" s="146"/>
      <c r="F342" s="141"/>
      <c r="J342" s="139"/>
    </row>
    <row r="343" spans="1:10" ht="15" customHeight="1">
      <c r="C343" s="140" t="s">
        <v>1141</v>
      </c>
      <c r="E343" s="146" t="s">
        <v>2437</v>
      </c>
      <c r="F343" s="146"/>
      <c r="J343" s="146"/>
    </row>
    <row r="344" spans="1:10" ht="15" customHeight="1">
      <c r="D344" s="140" t="s">
        <v>2442</v>
      </c>
      <c r="E344" s="146"/>
      <c r="F344" s="146"/>
      <c r="J344" s="146"/>
    </row>
    <row r="345" spans="1:10" ht="15" customHeight="1">
      <c r="C345" s="140" t="s">
        <v>1177</v>
      </c>
      <c r="E345" s="146"/>
      <c r="F345" s="146"/>
      <c r="J345" s="146"/>
    </row>
    <row r="346" spans="1:10" ht="15" customHeight="1">
      <c r="C346" s="140" t="s">
        <v>2290</v>
      </c>
      <c r="E346" s="146"/>
      <c r="F346" s="146"/>
      <c r="J346" s="146"/>
    </row>
    <row r="347" spans="1:10" ht="15" customHeight="1">
      <c r="C347" s="140" t="s">
        <v>2294</v>
      </c>
      <c r="E347" s="146"/>
      <c r="F347" s="146"/>
      <c r="J347" s="146"/>
    </row>
    <row r="348" spans="1:10" ht="15" customHeight="1">
      <c r="C348" s="140" t="s">
        <v>2296</v>
      </c>
      <c r="E348" s="146"/>
      <c r="F348" s="146"/>
      <c r="J348" s="146"/>
    </row>
    <row r="349" spans="1:10" ht="15" customHeight="1">
      <c r="C349" s="140" t="s">
        <v>2295</v>
      </c>
      <c r="E349" s="146"/>
      <c r="F349" s="146"/>
      <c r="J349" s="146"/>
    </row>
    <row r="350" spans="1:10" ht="15" customHeight="1">
      <c r="A350" s="82">
        <v>16</v>
      </c>
      <c r="B350" s="171" t="s">
        <v>237</v>
      </c>
      <c r="E350" s="140" t="s">
        <v>2798</v>
      </c>
    </row>
    <row r="351" spans="1:10" ht="15" customHeight="1">
      <c r="C351" s="140" t="s">
        <v>912</v>
      </c>
    </row>
    <row r="352" spans="1:10" ht="15" customHeight="1">
      <c r="C352" s="140" t="s">
        <v>2058</v>
      </c>
    </row>
    <row r="353" spans="1:12" ht="15" customHeight="1">
      <c r="C353" s="140" t="s">
        <v>2841</v>
      </c>
      <c r="E353" s="140" t="s">
        <v>2842</v>
      </c>
    </row>
    <row r="354" spans="1:12" ht="15" customHeight="1">
      <c r="A354" s="82">
        <v>17</v>
      </c>
      <c r="B354" s="171" t="s">
        <v>204</v>
      </c>
    </row>
    <row r="355" spans="1:12" ht="15" customHeight="1">
      <c r="C355" s="140" t="s">
        <v>469</v>
      </c>
      <c r="J355" s="141"/>
    </row>
    <row r="356" spans="1:12" ht="15" customHeight="1">
      <c r="A356" s="82">
        <v>18</v>
      </c>
      <c r="B356" s="171" t="s">
        <v>767</v>
      </c>
      <c r="E356" s="140" t="s">
        <v>302</v>
      </c>
      <c r="L356" s="139"/>
    </row>
    <row r="357" spans="1:12" ht="15" customHeight="1">
      <c r="C357" s="140" t="s">
        <v>949</v>
      </c>
    </row>
    <row r="358" spans="1:12" ht="15" customHeight="1">
      <c r="C358" s="140" t="s">
        <v>950</v>
      </c>
    </row>
    <row r="359" spans="1:12" ht="15" customHeight="1">
      <c r="C359" s="140" t="s">
        <v>951</v>
      </c>
    </row>
    <row r="360" spans="1:12" ht="15" customHeight="1">
      <c r="C360" s="140" t="s">
        <v>2683</v>
      </c>
    </row>
    <row r="361" spans="1:12" ht="15" customHeight="1">
      <c r="C361" s="140" t="s">
        <v>952</v>
      </c>
    </row>
    <row r="362" spans="1:12" ht="15" customHeight="1">
      <c r="C362" s="140" t="s">
        <v>881</v>
      </c>
    </row>
    <row r="363" spans="1:12" ht="15" customHeight="1">
      <c r="C363" s="140" t="s">
        <v>892</v>
      </c>
    </row>
    <row r="364" spans="1:12" ht="15" customHeight="1">
      <c r="C364" s="140" t="s">
        <v>907</v>
      </c>
    </row>
    <row r="365" spans="1:12" ht="15" customHeight="1">
      <c r="D365" s="140" t="s">
        <v>953</v>
      </c>
    </row>
    <row r="366" spans="1:12" ht="15" customHeight="1">
      <c r="C366" s="140" t="s">
        <v>908</v>
      </c>
    </row>
    <row r="367" spans="1:12" ht="15" customHeight="1">
      <c r="C367" s="140" t="s">
        <v>909</v>
      </c>
    </row>
    <row r="368" spans="1:12" ht="15" customHeight="1">
      <c r="C368" s="140" t="s">
        <v>2089</v>
      </c>
      <c r="D368" s="147"/>
    </row>
    <row r="369" spans="1:12" ht="15" customHeight="1">
      <c r="C369" s="153" t="s">
        <v>2685</v>
      </c>
    </row>
    <row r="370" spans="1:12" ht="15" customHeight="1">
      <c r="D370" s="140" t="s">
        <v>910</v>
      </c>
    </row>
    <row r="371" spans="1:12" ht="15" customHeight="1">
      <c r="D371" s="153" t="s">
        <v>2686</v>
      </c>
    </row>
    <row r="372" spans="1:12" ht="15" customHeight="1">
      <c r="C372" s="140" t="s">
        <v>903</v>
      </c>
    </row>
    <row r="373" spans="1:12" ht="15" customHeight="1">
      <c r="D373" s="140" t="s">
        <v>2684</v>
      </c>
    </row>
    <row r="374" spans="1:12" ht="15" customHeight="1">
      <c r="A374" s="82">
        <v>19</v>
      </c>
      <c r="B374" s="171" t="s">
        <v>255</v>
      </c>
      <c r="E374" s="146"/>
      <c r="I374" s="141"/>
      <c r="K374" s="141"/>
      <c r="L374" s="139"/>
    </row>
    <row r="375" spans="1:12" ht="15" customHeight="1">
      <c r="C375" s="140" t="s">
        <v>991</v>
      </c>
    </row>
    <row r="376" spans="1:12" ht="15" customHeight="1">
      <c r="C376" s="140" t="s">
        <v>1054</v>
      </c>
    </row>
    <row r="377" spans="1:12" ht="15" customHeight="1">
      <c r="D377" s="140" t="s">
        <v>580</v>
      </c>
    </row>
    <row r="378" spans="1:12" ht="15" customHeight="1">
      <c r="D378" s="140" t="s">
        <v>579</v>
      </c>
    </row>
    <row r="379" spans="1:12" ht="15" customHeight="1">
      <c r="C379" s="140" t="s">
        <v>1004</v>
      </c>
    </row>
    <row r="380" spans="1:12" ht="15" customHeight="1">
      <c r="D380" s="140" t="s">
        <v>2024</v>
      </c>
      <c r="J380" s="139"/>
    </row>
    <row r="381" spans="1:12" ht="15" customHeight="1">
      <c r="C381" s="140" t="s">
        <v>532</v>
      </c>
      <c r="E381" s="140" t="s">
        <v>300</v>
      </c>
    </row>
    <row r="382" spans="1:12" ht="15" customHeight="1">
      <c r="C382" s="140" t="s">
        <v>1025</v>
      </c>
    </row>
    <row r="383" spans="1:12" ht="15" customHeight="1">
      <c r="D383" s="140" t="s">
        <v>1027</v>
      </c>
    </row>
    <row r="384" spans="1:12" ht="15" customHeight="1">
      <c r="D384" s="140" t="s">
        <v>1028</v>
      </c>
    </row>
    <row r="385" spans="3:5" ht="15" customHeight="1">
      <c r="D385" s="140" t="s">
        <v>1038</v>
      </c>
    </row>
    <row r="386" spans="3:5" ht="15" customHeight="1">
      <c r="D386" s="140" t="s">
        <v>1037</v>
      </c>
    </row>
    <row r="387" spans="3:5" ht="15" customHeight="1">
      <c r="C387" s="140" t="s">
        <v>1001</v>
      </c>
    </row>
    <row r="388" spans="3:5" ht="15" customHeight="1">
      <c r="C388" s="140" t="s">
        <v>533</v>
      </c>
    </row>
    <row r="389" spans="3:5" ht="15" customHeight="1">
      <c r="D389" s="140" t="s">
        <v>1149</v>
      </c>
    </row>
    <row r="390" spans="3:5" ht="15" customHeight="1">
      <c r="D390" s="140" t="s">
        <v>1130</v>
      </c>
    </row>
    <row r="391" spans="3:5" ht="15" customHeight="1">
      <c r="E391" s="140" t="s">
        <v>1136</v>
      </c>
    </row>
    <row r="392" spans="3:5" ht="15" customHeight="1">
      <c r="E392" s="140" t="s">
        <v>1145</v>
      </c>
    </row>
    <row r="393" spans="3:5" ht="15" customHeight="1">
      <c r="D393" s="140" t="s">
        <v>1129</v>
      </c>
    </row>
    <row r="394" spans="3:5" ht="15" customHeight="1">
      <c r="D394" s="140" t="s">
        <v>1028</v>
      </c>
    </row>
    <row r="395" spans="3:5" ht="15" customHeight="1">
      <c r="C395" s="140" t="s">
        <v>1002</v>
      </c>
    </row>
    <row r="396" spans="3:5" ht="15" customHeight="1">
      <c r="C396" s="140" t="s">
        <v>997</v>
      </c>
    </row>
    <row r="397" spans="3:5" ht="15" customHeight="1">
      <c r="C397" s="140" t="s">
        <v>943</v>
      </c>
    </row>
    <row r="398" spans="3:5" ht="15" customHeight="1">
      <c r="C398" s="140" t="s">
        <v>546</v>
      </c>
    </row>
    <row r="399" spans="3:5" ht="15" customHeight="1">
      <c r="D399" s="140" t="s">
        <v>988</v>
      </c>
    </row>
    <row r="400" spans="3:5" ht="15" customHeight="1">
      <c r="C400" s="140" t="s">
        <v>2492</v>
      </c>
    </row>
    <row r="401" spans="1:5" ht="15" customHeight="1">
      <c r="C401" s="140" t="s">
        <v>531</v>
      </c>
    </row>
    <row r="402" spans="1:5" ht="15" customHeight="1">
      <c r="C402" s="140" t="s">
        <v>1007</v>
      </c>
      <c r="E402" s="140" t="s">
        <v>300</v>
      </c>
    </row>
    <row r="403" spans="1:5" ht="15" customHeight="1">
      <c r="D403" s="140" t="s">
        <v>1013</v>
      </c>
    </row>
    <row r="404" spans="1:5" ht="15" customHeight="1">
      <c r="D404" s="140" t="s">
        <v>1014</v>
      </c>
    </row>
    <row r="405" spans="1:5" ht="18" customHeight="1">
      <c r="C405" s="140" t="s">
        <v>2052</v>
      </c>
    </row>
    <row r="406" spans="1:5" ht="15" customHeight="1">
      <c r="C406" s="140" t="s">
        <v>942</v>
      </c>
    </row>
    <row r="407" spans="1:5" ht="15" customHeight="1">
      <c r="C407" s="140" t="s">
        <v>1161</v>
      </c>
    </row>
    <row r="408" spans="1:5" ht="15" customHeight="1">
      <c r="D408" s="140" t="s">
        <v>1163</v>
      </c>
    </row>
    <row r="409" spans="1:5" ht="15" customHeight="1">
      <c r="C409" s="140" t="s">
        <v>2064</v>
      </c>
    </row>
    <row r="410" spans="1:5" ht="15" customHeight="1">
      <c r="C410" s="140" t="s">
        <v>2059</v>
      </c>
    </row>
    <row r="411" spans="1:5" ht="15" customHeight="1">
      <c r="C411" s="140" t="s">
        <v>578</v>
      </c>
    </row>
    <row r="412" spans="1:5" ht="15" customHeight="1">
      <c r="C412" s="140" t="s">
        <v>2486</v>
      </c>
    </row>
    <row r="413" spans="1:5" ht="15" customHeight="1">
      <c r="C413" s="140" t="s">
        <v>2576</v>
      </c>
    </row>
    <row r="414" spans="1:5" ht="15" customHeight="1">
      <c r="C414" s="140" t="s">
        <v>2646</v>
      </c>
    </row>
    <row r="415" spans="1:5" ht="15" customHeight="1">
      <c r="D415" s="153" t="s">
        <v>2645</v>
      </c>
    </row>
    <row r="416" spans="1:5" ht="15" customHeight="1">
      <c r="A416" s="82">
        <v>20</v>
      </c>
      <c r="B416" s="171" t="s">
        <v>230</v>
      </c>
    </row>
    <row r="417" spans="3:4" ht="15" customHeight="1">
      <c r="C417" s="140" t="s">
        <v>502</v>
      </c>
    </row>
    <row r="418" spans="3:4" ht="15" customHeight="1">
      <c r="C418" s="140" t="s">
        <v>616</v>
      </c>
    </row>
    <row r="419" spans="3:4" ht="15" customHeight="1">
      <c r="C419" s="140" t="s">
        <v>782</v>
      </c>
    </row>
    <row r="420" spans="3:4" ht="15" customHeight="1">
      <c r="C420" s="140" t="s">
        <v>911</v>
      </c>
    </row>
    <row r="421" spans="3:4" ht="15" customHeight="1">
      <c r="C421" s="140" t="s">
        <v>1055</v>
      </c>
    </row>
    <row r="422" spans="3:4" ht="15" customHeight="1">
      <c r="D422" s="140" t="s">
        <v>1056</v>
      </c>
    </row>
    <row r="423" spans="3:4" ht="15" customHeight="1">
      <c r="C423" s="140" t="s">
        <v>2053</v>
      </c>
    </row>
    <row r="424" spans="3:4" ht="15" customHeight="1">
      <c r="C424" s="140" t="s">
        <v>2107</v>
      </c>
    </row>
    <row r="425" spans="3:4" ht="15" customHeight="1">
      <c r="C425" s="140" t="s">
        <v>2108</v>
      </c>
    </row>
    <row r="426" spans="3:4" ht="15" customHeight="1">
      <c r="C426" s="140" t="s">
        <v>2109</v>
      </c>
    </row>
    <row r="427" spans="3:4" ht="15" customHeight="1">
      <c r="C427" s="140" t="s">
        <v>2554</v>
      </c>
    </row>
    <row r="428" spans="3:4" ht="15" customHeight="1">
      <c r="C428" s="140" t="s">
        <v>425</v>
      </c>
    </row>
    <row r="429" spans="3:4" ht="15" customHeight="1">
      <c r="D429" s="140" t="s">
        <v>2760</v>
      </c>
    </row>
    <row r="430" spans="3:4" ht="15" customHeight="1">
      <c r="D430" s="140" t="s">
        <v>2761</v>
      </c>
    </row>
    <row r="431" spans="3:4" ht="15" customHeight="1">
      <c r="D431" s="140" t="s">
        <v>2762</v>
      </c>
    </row>
    <row r="432" spans="3:4" ht="15" customHeight="1">
      <c r="D432" s="140" t="s">
        <v>2763</v>
      </c>
    </row>
    <row r="433" spans="1:12" ht="15" customHeight="1">
      <c r="D433" s="140" t="s">
        <v>2764</v>
      </c>
    </row>
    <row r="434" spans="1:12" ht="15" customHeight="1">
      <c r="A434" s="82">
        <v>21</v>
      </c>
      <c r="B434" s="140" t="s">
        <v>464</v>
      </c>
      <c r="E434" s="140" t="s">
        <v>466</v>
      </c>
    </row>
    <row r="435" spans="1:12" ht="15" customHeight="1">
      <c r="C435" s="140" t="s">
        <v>465</v>
      </c>
    </row>
    <row r="436" spans="1:12" ht="15" customHeight="1">
      <c r="A436" s="82">
        <v>22</v>
      </c>
      <c r="B436" s="171" t="s">
        <v>381</v>
      </c>
    </row>
    <row r="437" spans="1:12" ht="15" customHeight="1">
      <c r="C437" s="140" t="s">
        <v>676</v>
      </c>
    </row>
    <row r="438" spans="1:12" ht="15" customHeight="1">
      <c r="C438" s="171" t="s">
        <v>750</v>
      </c>
      <c r="E438" s="140" t="s">
        <v>966</v>
      </c>
    </row>
    <row r="439" spans="1:12" ht="15" customHeight="1">
      <c r="D439" s="140" t="s">
        <v>783</v>
      </c>
    </row>
    <row r="440" spans="1:12" ht="15" customHeight="1">
      <c r="D440" s="140" t="s">
        <v>63</v>
      </c>
      <c r="I440" s="141"/>
    </row>
    <row r="441" spans="1:12" ht="15" customHeight="1">
      <c r="C441" s="140" t="s">
        <v>678</v>
      </c>
    </row>
    <row r="442" spans="1:12" ht="15" customHeight="1">
      <c r="C442" s="140" t="s">
        <v>880</v>
      </c>
    </row>
    <row r="443" spans="1:12" ht="15" customHeight="1">
      <c r="C443" s="140" t="s">
        <v>1043</v>
      </c>
    </row>
    <row r="444" spans="1:12" ht="15" customHeight="1">
      <c r="C444" s="140" t="s">
        <v>1060</v>
      </c>
    </row>
    <row r="445" spans="1:12" ht="15" customHeight="1">
      <c r="C445" s="140" t="s">
        <v>2085</v>
      </c>
    </row>
    <row r="446" spans="1:12" ht="15" customHeight="1">
      <c r="C446" s="140" t="s">
        <v>2502</v>
      </c>
    </row>
    <row r="447" spans="1:12" ht="15" customHeight="1">
      <c r="A447" s="82">
        <v>23</v>
      </c>
      <c r="B447" s="145" t="s">
        <v>226</v>
      </c>
      <c r="C447" s="145"/>
      <c r="D447" s="145"/>
      <c r="E447" s="140" t="s">
        <v>966</v>
      </c>
      <c r="F447" s="145"/>
      <c r="G447" s="145"/>
      <c r="H447" s="145"/>
      <c r="I447" s="145"/>
      <c r="J447" s="145"/>
      <c r="K447" s="145"/>
      <c r="L447" s="139"/>
    </row>
    <row r="448" spans="1:12" ht="15" customHeight="1">
      <c r="B448" s="145"/>
      <c r="C448" s="145" t="s">
        <v>387</v>
      </c>
      <c r="D448" s="145"/>
      <c r="E448" s="145"/>
      <c r="F448" s="145"/>
      <c r="G448" s="145"/>
      <c r="H448" s="145"/>
      <c r="I448" s="145"/>
      <c r="J448" s="145"/>
      <c r="K448" s="145"/>
      <c r="L448" s="148"/>
    </row>
    <row r="449" spans="1:12" ht="15" customHeight="1">
      <c r="B449" s="145"/>
      <c r="C449" s="145"/>
      <c r="D449" s="145" t="s">
        <v>378</v>
      </c>
      <c r="E449" s="145"/>
      <c r="F449" s="145"/>
      <c r="G449" s="145"/>
      <c r="H449" s="145"/>
      <c r="I449" s="145"/>
      <c r="J449" s="145"/>
      <c r="K449" s="145"/>
      <c r="L449" s="145"/>
    </row>
    <row r="450" spans="1:12" ht="15" customHeight="1">
      <c r="J450" s="141"/>
    </row>
    <row r="451" spans="1:12" ht="15" customHeight="1">
      <c r="A451" s="82">
        <v>24</v>
      </c>
      <c r="B451" s="140" t="s">
        <v>732</v>
      </c>
      <c r="E451" s="140" t="s">
        <v>657</v>
      </c>
    </row>
    <row r="452" spans="1:12" ht="15" customHeight="1">
      <c r="C452" s="140" t="s">
        <v>2077</v>
      </c>
    </row>
    <row r="453" spans="1:12" ht="15" customHeight="1">
      <c r="C453" s="140" t="s">
        <v>2670</v>
      </c>
    </row>
    <row r="454" spans="1:12" ht="15" customHeight="1">
      <c r="C454" s="140" t="s">
        <v>2080</v>
      </c>
    </row>
    <row r="455" spans="1:12" ht="15" customHeight="1">
      <c r="C455" s="140" t="s">
        <v>2081</v>
      </c>
    </row>
    <row r="456" spans="1:12" ht="13">
      <c r="D456" s="140" t="s">
        <v>2078</v>
      </c>
    </row>
    <row r="457" spans="1:12" ht="15" customHeight="1">
      <c r="D457" s="140" t="s">
        <v>2079</v>
      </c>
    </row>
    <row r="458" spans="1:12" ht="15" customHeight="1">
      <c r="C458" s="140" t="s">
        <v>2129</v>
      </c>
    </row>
    <row r="459" spans="1:12" ht="15" customHeight="1">
      <c r="C459" s="140" t="s">
        <v>2128</v>
      </c>
    </row>
    <row r="460" spans="1:12" ht="15" customHeight="1">
      <c r="C460" s="140" t="s">
        <v>2082</v>
      </c>
    </row>
    <row r="461" spans="1:12" ht="15" customHeight="1">
      <c r="C461" s="140" t="s">
        <v>2127</v>
      </c>
    </row>
    <row r="462" spans="1:12" ht="15" customHeight="1">
      <c r="C462" s="140" t="s">
        <v>2227</v>
      </c>
    </row>
    <row r="463" spans="1:12" ht="15" customHeight="1">
      <c r="C463" s="140" t="s">
        <v>412</v>
      </c>
    </row>
    <row r="464" spans="1:12" ht="15" customHeight="1">
      <c r="C464" s="140" t="s">
        <v>2681</v>
      </c>
    </row>
    <row r="465" spans="1:12" ht="15" customHeight="1">
      <c r="C465" s="140" t="s">
        <v>2682</v>
      </c>
    </row>
    <row r="466" spans="1:12" ht="15" customHeight="1">
      <c r="A466" s="82">
        <v>25</v>
      </c>
      <c r="B466" s="171" t="s">
        <v>281</v>
      </c>
    </row>
    <row r="467" spans="1:12" ht="15" customHeight="1">
      <c r="C467" s="140" t="s">
        <v>282</v>
      </c>
    </row>
    <row r="468" spans="1:12" ht="15" customHeight="1">
      <c r="A468" s="82">
        <v>26</v>
      </c>
      <c r="B468" s="171" t="s">
        <v>224</v>
      </c>
    </row>
    <row r="469" spans="1:12" ht="15" customHeight="1">
      <c r="C469" s="171" t="s">
        <v>461</v>
      </c>
      <c r="E469" s="140" t="s">
        <v>2819</v>
      </c>
      <c r="L469" s="141"/>
    </row>
    <row r="470" spans="1:12" ht="15" customHeight="1">
      <c r="C470" s="171" t="s">
        <v>227</v>
      </c>
    </row>
    <row r="471" spans="1:12" ht="15" customHeight="1">
      <c r="C471" s="140" t="s">
        <v>228</v>
      </c>
      <c r="L471" s="139"/>
    </row>
    <row r="472" spans="1:12" ht="15" customHeight="1">
      <c r="D472" s="140" t="s">
        <v>272</v>
      </c>
      <c r="E472" s="140" t="s">
        <v>2819</v>
      </c>
    </row>
    <row r="473" spans="1:12" ht="15" customHeight="1">
      <c r="C473" s="140" t="s">
        <v>273</v>
      </c>
      <c r="E473" s="140" t="s">
        <v>2819</v>
      </c>
    </row>
    <row r="474" spans="1:12" ht="15" customHeight="1">
      <c r="D474" s="140" t="s">
        <v>1047</v>
      </c>
      <c r="J474" s="139"/>
    </row>
    <row r="475" spans="1:12" ht="15" customHeight="1">
      <c r="C475" s="140" t="s">
        <v>2820</v>
      </c>
      <c r="E475" s="140" t="s">
        <v>2812</v>
      </c>
    </row>
    <row r="476" spans="1:12" ht="15" customHeight="1">
      <c r="C476" s="140" t="s">
        <v>400</v>
      </c>
    </row>
    <row r="477" spans="1:12" ht="15" customHeight="1">
      <c r="C477" s="140" t="s">
        <v>275</v>
      </c>
    </row>
    <row r="478" spans="1:12" ht="15" customHeight="1">
      <c r="A478" s="82">
        <v>27</v>
      </c>
      <c r="B478" s="140" t="s">
        <v>503</v>
      </c>
    </row>
    <row r="479" spans="1:12" ht="15" customHeight="1">
      <c r="C479" s="140" t="s">
        <v>278</v>
      </c>
    </row>
    <row r="480" spans="1:12" ht="15" customHeight="1">
      <c r="C480" s="140" t="s">
        <v>283</v>
      </c>
    </row>
    <row r="481" spans="3:12" ht="15" customHeight="1">
      <c r="C481" s="140" t="s">
        <v>288</v>
      </c>
    </row>
    <row r="482" spans="3:12" ht="15" customHeight="1">
      <c r="C482" s="140" t="s">
        <v>338</v>
      </c>
      <c r="F482" s="141"/>
      <c r="L482" s="139"/>
    </row>
    <row r="483" spans="3:12" ht="15" customHeight="1">
      <c r="C483" s="140" t="s">
        <v>476</v>
      </c>
      <c r="I483" s="141"/>
      <c r="L483" s="139"/>
    </row>
    <row r="484" spans="3:12" ht="15" customHeight="1">
      <c r="C484" s="140" t="s">
        <v>492</v>
      </c>
      <c r="I484" s="141"/>
      <c r="L484" s="139"/>
    </row>
    <row r="485" spans="3:12" ht="15" customHeight="1">
      <c r="D485" s="140" t="s">
        <v>505</v>
      </c>
      <c r="I485" s="141"/>
      <c r="L485" s="139"/>
    </row>
    <row r="486" spans="3:12" ht="15" customHeight="1">
      <c r="D486" s="140" t="s">
        <v>506</v>
      </c>
    </row>
    <row r="487" spans="3:12" ht="15" customHeight="1">
      <c r="C487" s="140" t="s">
        <v>339</v>
      </c>
      <c r="L487" s="139"/>
    </row>
    <row r="488" spans="3:12" ht="15" customHeight="1">
      <c r="D488" s="140" t="s">
        <v>341</v>
      </c>
    </row>
    <row r="489" spans="3:12" ht="15" customHeight="1">
      <c r="C489" s="140" t="s">
        <v>340</v>
      </c>
    </row>
    <row r="490" spans="3:12" ht="15" customHeight="1">
      <c r="D490" s="140" t="s">
        <v>341</v>
      </c>
    </row>
    <row r="491" spans="3:12" ht="15" customHeight="1">
      <c r="C491" s="140" t="s">
        <v>295</v>
      </c>
    </row>
    <row r="492" spans="3:12" ht="15" customHeight="1">
      <c r="D492" s="140" t="s">
        <v>500</v>
      </c>
    </row>
    <row r="493" spans="3:12" ht="15" customHeight="1">
      <c r="C493" s="140" t="s">
        <v>294</v>
      </c>
    </row>
    <row r="494" spans="3:12" ht="15" customHeight="1">
      <c r="C494" s="140" t="s">
        <v>473</v>
      </c>
    </row>
    <row r="495" spans="3:12" ht="15" customHeight="1">
      <c r="D495" s="140" t="s">
        <v>497</v>
      </c>
    </row>
    <row r="496" spans="3:12" ht="15" customHeight="1">
      <c r="D496" s="140" t="s">
        <v>493</v>
      </c>
      <c r="L496" s="139"/>
    </row>
    <row r="497" spans="1:12" ht="15" customHeight="1">
      <c r="C497" s="140" t="s">
        <v>481</v>
      </c>
    </row>
    <row r="498" spans="1:12" ht="15" customHeight="1">
      <c r="C498" s="140" t="s">
        <v>501</v>
      </c>
    </row>
    <row r="499" spans="1:12" ht="15" customHeight="1">
      <c r="C499" s="140" t="s">
        <v>2070</v>
      </c>
    </row>
    <row r="500" spans="1:12" ht="15" customHeight="1">
      <c r="C500" s="140" t="s">
        <v>2169</v>
      </c>
    </row>
    <row r="501" spans="1:12" ht="15" customHeight="1">
      <c r="D501" s="140" t="s">
        <v>324</v>
      </c>
    </row>
    <row r="502" spans="1:12" ht="15" customHeight="1">
      <c r="D502" s="140" t="s">
        <v>327</v>
      </c>
    </row>
    <row r="503" spans="1:12" ht="15" customHeight="1">
      <c r="C503" s="140" t="s">
        <v>2170</v>
      </c>
    </row>
    <row r="504" spans="1:12" ht="15" customHeight="1">
      <c r="A504" s="82">
        <v>28</v>
      </c>
      <c r="B504" s="171" t="s">
        <v>233</v>
      </c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</row>
    <row r="505" spans="1:12" ht="15" customHeight="1">
      <c r="A505" s="82">
        <v>29</v>
      </c>
      <c r="B505" s="140" t="s">
        <v>232</v>
      </c>
      <c r="E505" s="140" t="s">
        <v>434</v>
      </c>
    </row>
    <row r="506" spans="1:12" ht="15" customHeight="1">
      <c r="A506" s="82">
        <v>30</v>
      </c>
      <c r="B506" s="140" t="s">
        <v>231</v>
      </c>
      <c r="E506" s="140" t="s">
        <v>471</v>
      </c>
      <c r="L506" s="141"/>
    </row>
    <row r="507" spans="1:12" ht="15" customHeight="1">
      <c r="A507" s="82">
        <v>31</v>
      </c>
      <c r="B507" s="171" t="s">
        <v>242</v>
      </c>
    </row>
    <row r="508" spans="1:12" ht="15" customHeight="1">
      <c r="B508" s="171"/>
      <c r="C508" s="140" t="s">
        <v>2427</v>
      </c>
    </row>
    <row r="509" spans="1:12" ht="15" customHeight="1">
      <c r="A509" s="82">
        <v>32</v>
      </c>
      <c r="B509" s="171" t="s">
        <v>240</v>
      </c>
    </row>
    <row r="510" spans="1:12" ht="15" customHeight="1">
      <c r="A510" s="82">
        <v>33</v>
      </c>
      <c r="B510" s="140" t="s">
        <v>289</v>
      </c>
      <c r="G510" s="139"/>
    </row>
    <row r="511" spans="1:12" ht="15" customHeight="1">
      <c r="C511" s="140" t="s">
        <v>666</v>
      </c>
      <c r="L511" s="139"/>
    </row>
    <row r="512" spans="1:12" ht="15" customHeight="1">
      <c r="C512" s="140" t="s">
        <v>667</v>
      </c>
    </row>
    <row r="513" spans="1:5" ht="15" customHeight="1">
      <c r="A513" s="82">
        <v>34</v>
      </c>
      <c r="B513" s="171" t="s">
        <v>239</v>
      </c>
    </row>
    <row r="514" spans="1:5" ht="15" customHeight="1">
      <c r="C514" s="145" t="s">
        <v>443</v>
      </c>
    </row>
    <row r="515" spans="1:5" ht="15" customHeight="1">
      <c r="A515" s="82">
        <v>35</v>
      </c>
      <c r="B515" s="149" t="s">
        <v>234</v>
      </c>
    </row>
    <row r="516" spans="1:5" ht="15" customHeight="1">
      <c r="A516" s="82">
        <v>36</v>
      </c>
      <c r="B516" s="140" t="s">
        <v>296</v>
      </c>
      <c r="E516" s="140" t="s">
        <v>658</v>
      </c>
    </row>
    <row r="517" spans="1:5" ht="15" customHeight="1">
      <c r="C517" s="140" t="s">
        <v>721</v>
      </c>
    </row>
    <row r="518" spans="1:5" ht="15" customHeight="1">
      <c r="C518" s="140" t="s">
        <v>900</v>
      </c>
    </row>
    <row r="519" spans="1:5" ht="15" customHeight="1">
      <c r="C519" s="140" t="s">
        <v>2604</v>
      </c>
    </row>
    <row r="520" spans="1:5" ht="15" customHeight="1">
      <c r="C520" s="140" t="s">
        <v>361</v>
      </c>
    </row>
    <row r="521" spans="1:5" ht="15" customHeight="1">
      <c r="A521" s="82">
        <v>37</v>
      </c>
      <c r="B521" s="140" t="s">
        <v>247</v>
      </c>
    </row>
    <row r="522" spans="1:5" ht="15" customHeight="1">
      <c r="A522" s="82">
        <v>38</v>
      </c>
      <c r="B522" s="140" t="s">
        <v>253</v>
      </c>
    </row>
    <row r="523" spans="1:5" ht="15" customHeight="1">
      <c r="C523" s="140" t="s">
        <v>737</v>
      </c>
    </row>
    <row r="524" spans="1:5" ht="15" customHeight="1">
      <c r="C524" s="140" t="s">
        <v>738</v>
      </c>
    </row>
    <row r="525" spans="1:5" ht="15" customHeight="1">
      <c r="A525" s="82">
        <v>39</v>
      </c>
      <c r="B525" s="140" t="s">
        <v>252</v>
      </c>
    </row>
    <row r="526" spans="1:5" ht="15" customHeight="1">
      <c r="C526" s="140" t="s">
        <v>954</v>
      </c>
    </row>
    <row r="527" spans="1:5" ht="15" customHeight="1">
      <c r="C527" s="140" t="s">
        <v>955</v>
      </c>
    </row>
    <row r="528" spans="1:5" ht="15" customHeight="1">
      <c r="C528" s="140" t="s">
        <v>956</v>
      </c>
    </row>
    <row r="529" spans="3:4" ht="15" customHeight="1">
      <c r="C529" s="140" t="s">
        <v>957</v>
      </c>
    </row>
    <row r="530" spans="3:4" ht="15" customHeight="1">
      <c r="C530" s="140" t="s">
        <v>958</v>
      </c>
    </row>
    <row r="531" spans="3:4" ht="15" customHeight="1">
      <c r="C531" s="140" t="s">
        <v>311</v>
      </c>
    </row>
    <row r="532" spans="3:4" ht="15" customHeight="1">
      <c r="C532" s="140" t="s">
        <v>959</v>
      </c>
    </row>
    <row r="533" spans="3:4" ht="15" customHeight="1">
      <c r="D533" s="149" t="s">
        <v>312</v>
      </c>
    </row>
    <row r="534" spans="3:4" ht="15" customHeight="1">
      <c r="D534" s="149" t="s">
        <v>446</v>
      </c>
    </row>
    <row r="535" spans="3:4" ht="15" customHeight="1">
      <c r="D535" s="149" t="s">
        <v>447</v>
      </c>
    </row>
    <row r="536" spans="3:4" ht="15" customHeight="1">
      <c r="C536" s="140" t="s">
        <v>960</v>
      </c>
    </row>
    <row r="537" spans="3:4" ht="15" customHeight="1">
      <c r="D537" s="140" t="s">
        <v>313</v>
      </c>
    </row>
    <row r="538" spans="3:4" ht="15" customHeight="1">
      <c r="D538" s="140" t="s">
        <v>314</v>
      </c>
    </row>
    <row r="539" spans="3:4" ht="15" customHeight="1">
      <c r="D539" s="140" t="s">
        <v>315</v>
      </c>
    </row>
    <row r="540" spans="3:4" ht="15" customHeight="1">
      <c r="D540" s="140" t="s">
        <v>316</v>
      </c>
    </row>
    <row r="541" spans="3:4" ht="15" customHeight="1">
      <c r="D541" s="140" t="s">
        <v>317</v>
      </c>
    </row>
    <row r="542" spans="3:4" ht="15" customHeight="1">
      <c r="D542" s="140" t="s">
        <v>318</v>
      </c>
    </row>
    <row r="543" spans="3:4" ht="15" customHeight="1">
      <c r="D543" s="140" t="s">
        <v>319</v>
      </c>
    </row>
    <row r="544" spans="3:4" ht="15" customHeight="1">
      <c r="D544" s="149" t="s">
        <v>448</v>
      </c>
    </row>
    <row r="545" spans="1:12" ht="15" customHeight="1">
      <c r="A545" s="82">
        <v>40</v>
      </c>
      <c r="B545" s="140" t="s">
        <v>248</v>
      </c>
      <c r="E545" s="140" t="s">
        <v>2114</v>
      </c>
    </row>
    <row r="546" spans="1:12" ht="15" customHeight="1">
      <c r="A546" s="82">
        <v>41</v>
      </c>
      <c r="B546" s="140" t="s">
        <v>279</v>
      </c>
    </row>
    <row r="547" spans="1:12" ht="15" customHeight="1">
      <c r="C547" s="140" t="s">
        <v>347</v>
      </c>
      <c r="H547" s="141"/>
    </row>
    <row r="548" spans="1:12" ht="15" customHeight="1">
      <c r="C548" s="140" t="s">
        <v>2532</v>
      </c>
    </row>
    <row r="549" spans="1:12" ht="15" customHeight="1">
      <c r="D549" s="140" t="s">
        <v>2581</v>
      </c>
    </row>
    <row r="550" spans="1:12" ht="15" customHeight="1">
      <c r="D550" s="140" t="s">
        <v>2580</v>
      </c>
    </row>
    <row r="551" spans="1:12" ht="15" customHeight="1">
      <c r="D551" s="140" t="s">
        <v>2582</v>
      </c>
    </row>
    <row r="552" spans="1:12" ht="15" customHeight="1">
      <c r="C552" s="140" t="s">
        <v>433</v>
      </c>
    </row>
    <row r="553" spans="1:12" ht="15" customHeight="1">
      <c r="A553" s="82">
        <v>42</v>
      </c>
      <c r="B553" s="140" t="s">
        <v>494</v>
      </c>
    </row>
    <row r="554" spans="1:12" ht="15" customHeight="1">
      <c r="C554" s="145" t="s">
        <v>325</v>
      </c>
      <c r="D554" s="145"/>
      <c r="E554" s="145"/>
      <c r="F554" s="145"/>
      <c r="G554" s="145"/>
      <c r="H554" s="145"/>
      <c r="I554" s="145"/>
      <c r="J554" s="145"/>
      <c r="K554" s="145"/>
      <c r="L554" s="145"/>
    </row>
    <row r="555" spans="1:12" ht="15" customHeight="1">
      <c r="B555" s="150"/>
      <c r="C555" s="145"/>
      <c r="D555" s="145" t="s">
        <v>375</v>
      </c>
      <c r="E555" s="145"/>
      <c r="G555" s="145"/>
      <c r="H555" s="145"/>
      <c r="I555" s="145"/>
      <c r="J555" s="145"/>
      <c r="K555" s="145"/>
    </row>
    <row r="556" spans="1:12" ht="15" customHeight="1">
      <c r="B556" s="150"/>
      <c r="C556" s="145"/>
      <c r="D556" s="171" t="s">
        <v>326</v>
      </c>
      <c r="E556" s="145"/>
      <c r="F556" s="151"/>
      <c r="G556" s="145"/>
      <c r="H556" s="145"/>
      <c r="I556" s="145"/>
      <c r="J556" s="151"/>
      <c r="K556" s="145"/>
      <c r="L556" s="139"/>
    </row>
    <row r="557" spans="1:12" ht="15" customHeight="1">
      <c r="B557" s="150"/>
      <c r="C557" s="145"/>
      <c r="D557" s="145" t="s">
        <v>673</v>
      </c>
      <c r="E557" s="145"/>
      <c r="G557" s="145"/>
      <c r="H557" s="145"/>
      <c r="I557" s="145"/>
      <c r="J557" s="145"/>
      <c r="K557" s="145"/>
    </row>
    <row r="558" spans="1:12" ht="15" customHeight="1">
      <c r="B558" s="150"/>
      <c r="C558" s="145"/>
      <c r="D558" s="145" t="s">
        <v>683</v>
      </c>
      <c r="E558" s="145" t="s">
        <v>684</v>
      </c>
      <c r="G558" s="145"/>
      <c r="H558" s="145"/>
      <c r="I558" s="145"/>
      <c r="J558" s="145"/>
      <c r="K558" s="145"/>
      <c r="L558" s="139"/>
    </row>
    <row r="559" spans="1:12" ht="15" customHeight="1">
      <c r="B559" s="150"/>
      <c r="C559" s="145"/>
      <c r="D559" s="145" t="s">
        <v>454</v>
      </c>
      <c r="E559" s="145"/>
      <c r="G559" s="145"/>
      <c r="H559" s="145"/>
      <c r="I559" s="145"/>
      <c r="J559" s="145"/>
      <c r="K559" s="145"/>
    </row>
    <row r="560" spans="1:12" ht="15" customHeight="1">
      <c r="B560" s="150"/>
      <c r="C560" s="145"/>
      <c r="D560" s="152" t="s">
        <v>705</v>
      </c>
      <c r="E560" s="145"/>
      <c r="G560" s="145"/>
      <c r="H560" s="145"/>
      <c r="I560" s="145"/>
      <c r="J560" s="145"/>
      <c r="K560" s="145"/>
    </row>
    <row r="561" spans="2:12" ht="15" customHeight="1">
      <c r="B561" s="150"/>
      <c r="C561" s="145"/>
      <c r="D561" s="145" t="s">
        <v>675</v>
      </c>
      <c r="E561" s="145"/>
      <c r="G561" s="145"/>
      <c r="H561" s="145"/>
      <c r="I561" s="145"/>
      <c r="J561" s="145"/>
      <c r="K561" s="145"/>
    </row>
    <row r="562" spans="2:12" ht="15" customHeight="1">
      <c r="B562" s="150"/>
      <c r="C562" s="145"/>
      <c r="D562" s="145" t="s">
        <v>202</v>
      </c>
      <c r="E562" s="145"/>
      <c r="G562" s="145"/>
      <c r="H562" s="145"/>
      <c r="I562" s="145"/>
      <c r="J562" s="145"/>
      <c r="K562" s="145"/>
    </row>
    <row r="563" spans="2:12" ht="15" customHeight="1">
      <c r="B563" s="150"/>
      <c r="C563" s="140" t="s">
        <v>425</v>
      </c>
    </row>
    <row r="564" spans="2:12" ht="15" customHeight="1">
      <c r="B564" s="150"/>
      <c r="D564" s="140" t="s">
        <v>689</v>
      </c>
    </row>
    <row r="565" spans="2:12" ht="15" customHeight="1">
      <c r="D565" s="140" t="s">
        <v>717</v>
      </c>
    </row>
    <row r="566" spans="2:12" ht="15" customHeight="1">
      <c r="D566" s="140" t="s">
        <v>397</v>
      </c>
    </row>
    <row r="567" spans="2:12" ht="15" customHeight="1">
      <c r="C567" s="140" t="s">
        <v>392</v>
      </c>
    </row>
    <row r="568" spans="2:12" ht="15" customHeight="1">
      <c r="D568" s="140" t="s">
        <v>695</v>
      </c>
      <c r="L568" s="139"/>
    </row>
    <row r="569" spans="2:12" ht="15" customHeight="1">
      <c r="C569" s="140" t="s">
        <v>383</v>
      </c>
      <c r="L569" s="139"/>
    </row>
    <row r="570" spans="2:12" ht="15" customHeight="1">
      <c r="C570" s="140" t="s">
        <v>495</v>
      </c>
    </row>
    <row r="571" spans="2:12" ht="15" customHeight="1">
      <c r="D571" s="140" t="s">
        <v>496</v>
      </c>
      <c r="L571" s="139"/>
    </row>
    <row r="572" spans="2:12" ht="15" customHeight="1">
      <c r="C572" s="140" t="s">
        <v>453</v>
      </c>
    </row>
    <row r="573" spans="2:12" ht="15" customHeight="1">
      <c r="C573" s="140" t="s">
        <v>2639</v>
      </c>
    </row>
    <row r="574" spans="2:12" ht="15" customHeight="1">
      <c r="D574" s="140" t="s">
        <v>2744</v>
      </c>
    </row>
    <row r="575" spans="2:12" ht="15" customHeight="1">
      <c r="D575" s="153" t="s">
        <v>2745</v>
      </c>
    </row>
    <row r="576" spans="2:12" ht="15" customHeight="1">
      <c r="C576" s="140" t="s">
        <v>765</v>
      </c>
    </row>
    <row r="577" spans="1:4" ht="15" customHeight="1">
      <c r="C577" s="140" t="s">
        <v>2237</v>
      </c>
    </row>
    <row r="578" spans="1:4" ht="15" customHeight="1">
      <c r="D578" s="171" t="s">
        <v>2335</v>
      </c>
    </row>
    <row r="579" spans="1:4" ht="15" customHeight="1">
      <c r="D579" s="171" t="s">
        <v>2334</v>
      </c>
    </row>
    <row r="580" spans="1:4" ht="15" customHeight="1">
      <c r="D580" s="171" t="s">
        <v>2336</v>
      </c>
    </row>
    <row r="581" spans="1:4" ht="15" customHeight="1">
      <c r="D581" s="171" t="s">
        <v>2337</v>
      </c>
    </row>
    <row r="582" spans="1:4" ht="15" customHeight="1">
      <c r="D582" s="171" t="s">
        <v>2338</v>
      </c>
    </row>
    <row r="583" spans="1:4" ht="15" customHeight="1">
      <c r="D583" s="171" t="s">
        <v>2339</v>
      </c>
    </row>
    <row r="584" spans="1:4" ht="15" customHeight="1">
      <c r="C584" s="140" t="s">
        <v>298</v>
      </c>
    </row>
    <row r="585" spans="1:4" ht="15" customHeight="1">
      <c r="D585" s="140" t="s">
        <v>963</v>
      </c>
    </row>
    <row r="586" spans="1:4" ht="15" customHeight="1">
      <c r="D586" s="140" t="s">
        <v>989</v>
      </c>
    </row>
    <row r="587" spans="1:4" ht="15" customHeight="1">
      <c r="D587" s="140" t="s">
        <v>990</v>
      </c>
    </row>
    <row r="588" spans="1:4" ht="15" customHeight="1">
      <c r="D588" s="140" t="s">
        <v>1140</v>
      </c>
    </row>
    <row r="589" spans="1:4" ht="15" customHeight="1">
      <c r="C589" s="140" t="s">
        <v>2262</v>
      </c>
    </row>
    <row r="590" spans="1:4" ht="15" customHeight="1">
      <c r="D590" s="140" t="s">
        <v>2743</v>
      </c>
    </row>
    <row r="591" spans="1:4" ht="15" customHeight="1">
      <c r="A591" s="82">
        <v>43</v>
      </c>
      <c r="B591" s="171" t="s">
        <v>299</v>
      </c>
    </row>
    <row r="592" spans="1:4" ht="15" customHeight="1">
      <c r="C592" s="140" t="s">
        <v>2262</v>
      </c>
    </row>
    <row r="593" spans="1:12" ht="15" customHeight="1">
      <c r="D593" s="140" t="s">
        <v>2134</v>
      </c>
    </row>
    <row r="594" spans="1:12" ht="15" customHeight="1">
      <c r="C594" s="140" t="s">
        <v>2671</v>
      </c>
    </row>
    <row r="595" spans="1:12" ht="15" customHeight="1">
      <c r="C595" s="140" t="s">
        <v>2676</v>
      </c>
    </row>
    <row r="596" spans="1:12" ht="15" customHeight="1">
      <c r="A596" s="82">
        <v>44</v>
      </c>
      <c r="B596" s="171" t="s">
        <v>475</v>
      </c>
      <c r="E596" s="140" t="s">
        <v>623</v>
      </c>
      <c r="I596" s="141"/>
      <c r="L596" s="139"/>
    </row>
    <row r="597" spans="1:12" ht="15" customHeight="1">
      <c r="C597" s="140" t="s">
        <v>903</v>
      </c>
    </row>
    <row r="598" spans="1:12" ht="15" customHeight="1">
      <c r="C598" s="140" t="s">
        <v>904</v>
      </c>
    </row>
    <row r="599" spans="1:12" ht="15" customHeight="1">
      <c r="C599" s="140" t="s">
        <v>718</v>
      </c>
      <c r="I599" s="141"/>
    </row>
    <row r="600" spans="1:12" ht="15" customHeight="1">
      <c r="D600" s="140" t="s">
        <v>687</v>
      </c>
    </row>
    <row r="601" spans="1:12" ht="15" customHeight="1">
      <c r="C601" s="140" t="s">
        <v>905</v>
      </c>
    </row>
    <row r="602" spans="1:12" ht="15" customHeight="1">
      <c r="C602" s="140" t="s">
        <v>906</v>
      </c>
    </row>
    <row r="603" spans="1:12" ht="15" customHeight="1">
      <c r="C603" s="140" t="s">
        <v>2167</v>
      </c>
    </row>
    <row r="604" spans="1:12" ht="15" customHeight="1">
      <c r="C604" s="140" t="s">
        <v>483</v>
      </c>
    </row>
    <row r="605" spans="1:12" ht="15" customHeight="1">
      <c r="C605" s="140" t="s">
        <v>491</v>
      </c>
    </row>
    <row r="606" spans="1:12" ht="15" customHeight="1">
      <c r="D606" s="140" t="s">
        <v>2779</v>
      </c>
    </row>
    <row r="607" spans="1:12" ht="15" customHeight="1">
      <c r="C607" s="140" t="s">
        <v>224</v>
      </c>
      <c r="J607" s="141"/>
    </row>
    <row r="608" spans="1:12" ht="15" customHeight="1">
      <c r="D608" s="140" t="s">
        <v>722</v>
      </c>
      <c r="I608" s="141"/>
      <c r="J608" s="141"/>
    </row>
    <row r="609" spans="1:4" ht="15" customHeight="1">
      <c r="C609" s="140" t="s">
        <v>2350</v>
      </c>
    </row>
    <row r="610" spans="1:4" ht="15" customHeight="1">
      <c r="D610" s="140" t="s">
        <v>2351</v>
      </c>
    </row>
    <row r="611" spans="1:4" ht="15" customHeight="1">
      <c r="C611" s="140" t="s">
        <v>2526</v>
      </c>
    </row>
    <row r="612" spans="1:4" ht="15" customHeight="1">
      <c r="A612" s="82">
        <v>45</v>
      </c>
      <c r="B612" s="140" t="s">
        <v>254</v>
      </c>
    </row>
    <row r="613" spans="1:4" ht="15" customHeight="1">
      <c r="C613" s="140" t="s">
        <v>1003</v>
      </c>
    </row>
    <row r="614" spans="1:4" ht="15" customHeight="1">
      <c r="C614" s="140" t="s">
        <v>2741</v>
      </c>
    </row>
    <row r="615" spans="1:4" ht="15" customHeight="1">
      <c r="C615" s="140" t="s">
        <v>2605</v>
      </c>
    </row>
    <row r="616" spans="1:4" ht="15" customHeight="1">
      <c r="D616" s="140" t="s">
        <v>2606</v>
      </c>
    </row>
    <row r="617" spans="1:4" ht="15" customHeight="1">
      <c r="D617" s="140" t="s">
        <v>2731</v>
      </c>
    </row>
    <row r="618" spans="1:4" ht="15" customHeight="1">
      <c r="D618" s="140" t="s">
        <v>2732</v>
      </c>
    </row>
    <row r="619" spans="1:4" ht="15" customHeight="1">
      <c r="D619" s="140" t="s">
        <v>2733</v>
      </c>
    </row>
    <row r="620" spans="1:4" ht="15" customHeight="1">
      <c r="D620" s="140" t="s">
        <v>2734</v>
      </c>
    </row>
    <row r="621" spans="1:4" ht="15" customHeight="1">
      <c r="D621" s="140" t="s">
        <v>2735</v>
      </c>
    </row>
    <row r="622" spans="1:4" ht="15" customHeight="1">
      <c r="D622" s="140" t="s">
        <v>2736</v>
      </c>
    </row>
    <row r="623" spans="1:4" ht="15" customHeight="1">
      <c r="D623" s="140" t="s">
        <v>2737</v>
      </c>
    </row>
    <row r="624" spans="1:4" ht="15" customHeight="1">
      <c r="C624" s="153" t="s">
        <v>2607</v>
      </c>
    </row>
    <row r="625" spans="1:4" ht="15" customHeight="1">
      <c r="C625" s="153"/>
      <c r="D625" s="153" t="s">
        <v>2608</v>
      </c>
    </row>
    <row r="626" spans="1:4" ht="15" customHeight="1">
      <c r="C626" s="153"/>
      <c r="D626" s="153" t="s">
        <v>2609</v>
      </c>
    </row>
    <row r="627" spans="1:4" ht="15" customHeight="1">
      <c r="C627" s="153" t="s">
        <v>2610</v>
      </c>
      <c r="D627" s="153"/>
    </row>
    <row r="628" spans="1:4" ht="15" customHeight="1">
      <c r="C628" s="153" t="s">
        <v>2644</v>
      </c>
      <c r="D628" s="153"/>
    </row>
    <row r="629" spans="1:4" ht="15" customHeight="1">
      <c r="C629" s="153" t="s">
        <v>2730</v>
      </c>
      <c r="D629" s="153"/>
    </row>
    <row r="630" spans="1:4" ht="15" customHeight="1">
      <c r="C630" s="153"/>
      <c r="D630" s="153" t="s">
        <v>2738</v>
      </c>
    </row>
    <row r="631" spans="1:4" ht="15" customHeight="1">
      <c r="C631" s="153"/>
      <c r="D631" s="153" t="s">
        <v>2739</v>
      </c>
    </row>
    <row r="632" spans="1:4" ht="15" customHeight="1">
      <c r="C632" s="153"/>
      <c r="D632" s="153" t="s">
        <v>2740</v>
      </c>
    </row>
    <row r="633" spans="1:4" ht="15" customHeight="1">
      <c r="C633" s="153" t="s">
        <v>2742</v>
      </c>
      <c r="D633" s="153"/>
    </row>
    <row r="634" spans="1:4" ht="15" customHeight="1">
      <c r="C634" s="153" t="s">
        <v>542</v>
      </c>
    </row>
    <row r="635" spans="1:4" ht="15" customHeight="1">
      <c r="A635" s="82">
        <v>46</v>
      </c>
      <c r="B635" s="140" t="s">
        <v>251</v>
      </c>
    </row>
    <row r="636" spans="1:4" ht="15" customHeight="1">
      <c r="A636" s="82">
        <v>47</v>
      </c>
      <c r="B636" s="171" t="s">
        <v>761</v>
      </c>
    </row>
    <row r="637" spans="1:4" ht="15" customHeight="1">
      <c r="C637" s="153" t="s">
        <v>1142</v>
      </c>
    </row>
    <row r="638" spans="1:4" ht="15" customHeight="1">
      <c r="C638" s="140" t="s">
        <v>768</v>
      </c>
    </row>
    <row r="639" spans="1:4" ht="15" customHeight="1">
      <c r="C639" s="140" t="s">
        <v>593</v>
      </c>
    </row>
    <row r="640" spans="1:4" ht="15" customHeight="1">
      <c r="A640" s="82">
        <v>48</v>
      </c>
      <c r="B640" s="140" t="s">
        <v>274</v>
      </c>
    </row>
    <row r="641" spans="1:12" ht="15" customHeight="1">
      <c r="A641" s="82">
        <v>49</v>
      </c>
      <c r="B641" s="140" t="s">
        <v>661</v>
      </c>
      <c r="E641" s="140" t="s">
        <v>466</v>
      </c>
    </row>
    <row r="642" spans="1:12" ht="15" customHeight="1">
      <c r="A642" s="82">
        <v>50</v>
      </c>
      <c r="B642" s="171" t="s">
        <v>292</v>
      </c>
    </row>
    <row r="643" spans="1:12" ht="15" customHeight="1">
      <c r="C643" s="140" t="s">
        <v>293</v>
      </c>
    </row>
    <row r="644" spans="1:12" ht="15" customHeight="1">
      <c r="C644" s="140" t="s">
        <v>344</v>
      </c>
      <c r="J644" s="141"/>
    </row>
    <row r="645" spans="1:12" ht="15" customHeight="1">
      <c r="C645" s="140" t="s">
        <v>424</v>
      </c>
    </row>
    <row r="646" spans="1:12" ht="15" customHeight="1">
      <c r="A646" s="82">
        <v>51</v>
      </c>
      <c r="B646" s="171" t="s">
        <v>297</v>
      </c>
    </row>
    <row r="647" spans="1:12" ht="15" customHeight="1">
      <c r="A647" s="82">
        <v>52</v>
      </c>
      <c r="B647" s="140" t="s">
        <v>2591</v>
      </c>
      <c r="E647" s="140" t="s">
        <v>466</v>
      </c>
    </row>
    <row r="648" spans="1:12" ht="15" customHeight="1">
      <c r="A648" s="82">
        <v>53</v>
      </c>
      <c r="B648" s="140" t="s">
        <v>452</v>
      </c>
    </row>
    <row r="649" spans="1:12" ht="15" customHeight="1">
      <c r="A649" s="82">
        <v>54</v>
      </c>
      <c r="B649" s="140" t="s">
        <v>377</v>
      </c>
      <c r="E649" s="140" t="s">
        <v>2150</v>
      </c>
    </row>
    <row r="650" spans="1:12" ht="15" customHeight="1">
      <c r="C650" s="140" t="s">
        <v>2288</v>
      </c>
    </row>
    <row r="651" spans="1:12" ht="15" customHeight="1">
      <c r="C651" s="140" t="s">
        <v>2364</v>
      </c>
    </row>
    <row r="652" spans="1:12" ht="15" customHeight="1">
      <c r="C652" s="140" t="s">
        <v>2064</v>
      </c>
    </row>
    <row r="653" spans="1:12" ht="15" customHeight="1">
      <c r="D653" s="140" t="s">
        <v>2363</v>
      </c>
    </row>
    <row r="654" spans="1:12" ht="15" customHeight="1">
      <c r="A654" s="82">
        <v>55</v>
      </c>
      <c r="B654" s="145" t="s">
        <v>290</v>
      </c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</row>
    <row r="655" spans="1:12" ht="15" customHeight="1">
      <c r="B655" s="145"/>
      <c r="C655" s="145" t="s">
        <v>498</v>
      </c>
      <c r="D655" s="145"/>
      <c r="E655" s="145"/>
      <c r="F655" s="145"/>
      <c r="G655" s="145"/>
      <c r="H655" s="145"/>
      <c r="I655" s="141"/>
      <c r="J655" s="145"/>
      <c r="K655" s="145"/>
      <c r="L655" s="139"/>
    </row>
    <row r="656" spans="1:12" ht="15" customHeight="1">
      <c r="B656" s="145"/>
      <c r="C656" s="145" t="s">
        <v>291</v>
      </c>
      <c r="D656" s="145"/>
      <c r="E656" s="145"/>
      <c r="F656" s="145"/>
      <c r="G656" s="145"/>
      <c r="H656" s="145"/>
      <c r="I656" s="145"/>
      <c r="J656" s="145"/>
      <c r="K656" s="145"/>
      <c r="L656" s="148"/>
    </row>
    <row r="657" spans="1:12" ht="15" customHeight="1">
      <c r="B657" s="145"/>
      <c r="C657" s="145" t="s">
        <v>499</v>
      </c>
      <c r="D657" s="145"/>
      <c r="E657" s="145"/>
      <c r="F657" s="145"/>
      <c r="G657" s="145"/>
      <c r="H657" s="145"/>
      <c r="I657" s="145"/>
      <c r="J657" s="145"/>
      <c r="K657" s="145"/>
      <c r="L657" s="145"/>
    </row>
    <row r="658" spans="1:12" ht="15" customHeight="1">
      <c r="A658" s="82">
        <v>56</v>
      </c>
      <c r="B658" s="171" t="s">
        <v>472</v>
      </c>
    </row>
    <row r="659" spans="1:12" ht="15" customHeight="1">
      <c r="C659" s="140" t="s">
        <v>449</v>
      </c>
    </row>
    <row r="660" spans="1:12" ht="15" customHeight="1">
      <c r="D660" s="140" t="s">
        <v>450</v>
      </c>
    </row>
    <row r="661" spans="1:12" ht="15" customHeight="1">
      <c r="C661" s="140" t="s">
        <v>471</v>
      </c>
    </row>
    <row r="662" spans="1:12" ht="15" customHeight="1">
      <c r="C662" s="140" t="s">
        <v>302</v>
      </c>
    </row>
    <row r="663" spans="1:12" ht="15" customHeight="1">
      <c r="C663" s="140" t="s">
        <v>303</v>
      </c>
    </row>
    <row r="664" spans="1:12" ht="15" customHeight="1">
      <c r="C664" s="140" t="s">
        <v>2064</v>
      </c>
    </row>
    <row r="665" spans="1:12" ht="15" customHeight="1">
      <c r="C665" s="140" t="s">
        <v>832</v>
      </c>
    </row>
    <row r="666" spans="1:12" ht="15" customHeight="1">
      <c r="D666" s="140" t="s">
        <v>833</v>
      </c>
    </row>
    <row r="667" spans="1:12" ht="15" customHeight="1">
      <c r="C667" s="140" t="s">
        <v>2260</v>
      </c>
      <c r="J667" s="139"/>
    </row>
    <row r="668" spans="1:12" ht="15" customHeight="1">
      <c r="C668" s="140" t="s">
        <v>531</v>
      </c>
    </row>
    <row r="669" spans="1:12" ht="15" customHeight="1">
      <c r="C669" s="140" t="s">
        <v>657</v>
      </c>
      <c r="J669" s="141"/>
    </row>
    <row r="670" spans="1:12" ht="15" customHeight="1">
      <c r="D670" s="140" t="s">
        <v>413</v>
      </c>
    </row>
    <row r="671" spans="1:12" ht="15" customHeight="1">
      <c r="D671" s="140" t="s">
        <v>508</v>
      </c>
    </row>
    <row r="672" spans="1:12" ht="15" customHeight="1">
      <c r="D672" s="140" t="s">
        <v>2077</v>
      </c>
    </row>
    <row r="673" spans="1:4" ht="15" customHeight="1">
      <c r="D673" s="140" t="s">
        <v>665</v>
      </c>
    </row>
    <row r="674" spans="1:4" ht="15" customHeight="1">
      <c r="D674" s="140" t="s">
        <v>2104</v>
      </c>
    </row>
    <row r="675" spans="1:4" ht="15" customHeight="1">
      <c r="C675" s="140" t="s">
        <v>1026</v>
      </c>
    </row>
    <row r="676" spans="1:4" ht="15" customHeight="1">
      <c r="C676" s="140" t="s">
        <v>2308</v>
      </c>
    </row>
    <row r="677" spans="1:4" ht="15" customHeight="1">
      <c r="C677" s="140" t="s">
        <v>582</v>
      </c>
    </row>
    <row r="678" spans="1:4" ht="15" customHeight="1">
      <c r="D678" s="140" t="s">
        <v>2513</v>
      </c>
    </row>
    <row r="679" spans="1:4" ht="15" customHeight="1">
      <c r="D679" s="153" t="s">
        <v>2611</v>
      </c>
    </row>
    <row r="680" spans="1:4" ht="15" customHeight="1">
      <c r="C680" s="140" t="s">
        <v>2497</v>
      </c>
    </row>
    <row r="681" spans="1:4" ht="15" customHeight="1">
      <c r="C681" s="140" t="s">
        <v>544</v>
      </c>
    </row>
    <row r="682" spans="1:4" ht="15" customHeight="1">
      <c r="D682" s="140" t="s">
        <v>944</v>
      </c>
    </row>
    <row r="683" spans="1:4" ht="15" customHeight="1">
      <c r="D683" s="140" t="s">
        <v>943</v>
      </c>
    </row>
    <row r="684" spans="1:4" ht="15" customHeight="1">
      <c r="D684" s="140" t="s">
        <v>942</v>
      </c>
    </row>
    <row r="685" spans="1:4" ht="15" customHeight="1">
      <c r="D685" s="140" t="s">
        <v>941</v>
      </c>
    </row>
    <row r="686" spans="1:4" ht="15" customHeight="1">
      <c r="D686" s="140" t="s">
        <v>2628</v>
      </c>
    </row>
    <row r="687" spans="1:4" ht="15" customHeight="1">
      <c r="D687" s="140" t="s">
        <v>2629</v>
      </c>
    </row>
    <row r="688" spans="1:4" ht="15" customHeight="1">
      <c r="A688" s="82">
        <v>57</v>
      </c>
      <c r="B688" s="140" t="s">
        <v>301</v>
      </c>
    </row>
    <row r="689" spans="1:12" ht="15" customHeight="1">
      <c r="C689" s="140" t="s">
        <v>885</v>
      </c>
      <c r="E689" s="140" t="s">
        <v>886</v>
      </c>
    </row>
    <row r="690" spans="1:12" ht="15" customHeight="1">
      <c r="A690" s="82">
        <v>58</v>
      </c>
      <c r="B690" s="140" t="s">
        <v>308</v>
      </c>
    </row>
    <row r="691" spans="1:12" ht="15" customHeight="1">
      <c r="A691" s="82">
        <v>59</v>
      </c>
      <c r="B691" s="140" t="s">
        <v>306</v>
      </c>
    </row>
    <row r="692" spans="1:12" ht="15" customHeight="1">
      <c r="C692" s="140" t="s">
        <v>466</v>
      </c>
      <c r="L692" s="139"/>
    </row>
    <row r="693" spans="1:12" ht="15" customHeight="1">
      <c r="C693" s="140" t="s">
        <v>482</v>
      </c>
    </row>
    <row r="694" spans="1:12" ht="15" customHeight="1">
      <c r="A694" s="82">
        <v>60</v>
      </c>
      <c r="B694" s="171" t="s">
        <v>310</v>
      </c>
    </row>
    <row r="695" spans="1:12" ht="15" customHeight="1">
      <c r="C695" s="140" t="s">
        <v>871</v>
      </c>
    </row>
    <row r="696" spans="1:12" ht="15" customHeight="1">
      <c r="C696" s="140" t="s">
        <v>872</v>
      </c>
      <c r="J696" s="141"/>
    </row>
    <row r="697" spans="1:12" ht="15" customHeight="1">
      <c r="C697" s="140" t="s">
        <v>1031</v>
      </c>
    </row>
    <row r="698" spans="1:12" ht="15" customHeight="1">
      <c r="C698" s="140" t="s">
        <v>2494</v>
      </c>
    </row>
    <row r="699" spans="1:12" ht="15" customHeight="1">
      <c r="C699" s="140" t="s">
        <v>870</v>
      </c>
    </row>
    <row r="700" spans="1:12" ht="15" customHeight="1">
      <c r="C700" s="140" t="s">
        <v>2678</v>
      </c>
    </row>
    <row r="701" spans="1:12" ht="15" customHeight="1">
      <c r="C701" s="140" t="s">
        <v>2746</v>
      </c>
    </row>
    <row r="702" spans="1:12" ht="15" customHeight="1">
      <c r="A702" s="82">
        <v>61</v>
      </c>
      <c r="B702" s="140" t="s">
        <v>376</v>
      </c>
    </row>
    <row r="703" spans="1:12" ht="15" customHeight="1">
      <c r="A703" s="82">
        <v>62</v>
      </c>
      <c r="B703" s="140" t="s">
        <v>348</v>
      </c>
    </row>
    <row r="704" spans="1:12" ht="15" customHeight="1">
      <c r="C704" s="140" t="s">
        <v>360</v>
      </c>
    </row>
    <row r="705" spans="1:4" ht="15" customHeight="1">
      <c r="C705" s="140" t="s">
        <v>349</v>
      </c>
    </row>
    <row r="706" spans="1:4" ht="15" customHeight="1">
      <c r="D706" s="140" t="s">
        <v>353</v>
      </c>
    </row>
    <row r="707" spans="1:4" ht="15" customHeight="1">
      <c r="D707" s="140" t="s">
        <v>2679</v>
      </c>
    </row>
    <row r="708" spans="1:4" ht="15" customHeight="1">
      <c r="C708" s="140" t="s">
        <v>352</v>
      </c>
    </row>
    <row r="709" spans="1:4" ht="15" customHeight="1">
      <c r="C709" s="140" t="s">
        <v>350</v>
      </c>
    </row>
    <row r="710" spans="1:4" ht="15" customHeight="1">
      <c r="C710" s="140" t="s">
        <v>351</v>
      </c>
    </row>
    <row r="711" spans="1:4" ht="15" customHeight="1">
      <c r="D711" s="140" t="s">
        <v>2630</v>
      </c>
    </row>
    <row r="712" spans="1:4" ht="15" customHeight="1">
      <c r="C712" s="140" t="s">
        <v>1024</v>
      </c>
    </row>
    <row r="713" spans="1:4" ht="15" customHeight="1">
      <c r="C713" s="153" t="s">
        <v>2672</v>
      </c>
      <c r="D713" s="153"/>
    </row>
    <row r="714" spans="1:4" ht="15" customHeight="1">
      <c r="C714" s="153"/>
      <c r="D714" s="140" t="s">
        <v>2673</v>
      </c>
    </row>
    <row r="715" spans="1:4" ht="15" customHeight="1">
      <c r="C715" s="153"/>
      <c r="D715" s="140" t="s">
        <v>2674</v>
      </c>
    </row>
    <row r="716" spans="1:4" ht="15" customHeight="1">
      <c r="C716" s="153" t="s">
        <v>2727</v>
      </c>
    </row>
    <row r="717" spans="1:4" ht="15" customHeight="1">
      <c r="C717" s="153" t="s">
        <v>2728</v>
      </c>
    </row>
    <row r="718" spans="1:4" ht="15" customHeight="1">
      <c r="A718" s="82">
        <v>63</v>
      </c>
      <c r="B718" s="140" t="s">
        <v>300</v>
      </c>
    </row>
    <row r="719" spans="1:4" ht="15" customHeight="1">
      <c r="C719" s="140" t="s">
        <v>2511</v>
      </c>
    </row>
    <row r="720" spans="1:4" ht="15" customHeight="1">
      <c r="C720" s="140" t="s">
        <v>2508</v>
      </c>
    </row>
    <row r="721" spans="3:7" ht="15" customHeight="1">
      <c r="D721" s="140" t="s">
        <v>2509</v>
      </c>
    </row>
    <row r="722" spans="3:7" ht="15" customHeight="1">
      <c r="D722" s="140" t="s">
        <v>2510</v>
      </c>
    </row>
    <row r="723" spans="3:7" ht="15" customHeight="1">
      <c r="C723" s="140" t="s">
        <v>2572</v>
      </c>
    </row>
    <row r="724" spans="3:7" ht="15" customHeight="1">
      <c r="C724" s="140" t="s">
        <v>2573</v>
      </c>
    </row>
    <row r="725" spans="3:7" ht="15" customHeight="1">
      <c r="C725" s="140" t="s">
        <v>2574</v>
      </c>
    </row>
    <row r="726" spans="3:7" ht="15" customHeight="1">
      <c r="C726" s="140" t="s">
        <v>2680</v>
      </c>
    </row>
    <row r="727" spans="3:7" ht="15" customHeight="1">
      <c r="C727" s="140" t="s">
        <v>2428</v>
      </c>
      <c r="G727" s="139"/>
    </row>
    <row r="728" spans="3:7" ht="15" customHeight="1">
      <c r="D728" s="140" t="s">
        <v>2495</v>
      </c>
      <c r="G728" s="139"/>
    </row>
    <row r="729" spans="3:7" ht="15" customHeight="1">
      <c r="D729" s="140" t="s">
        <v>2556</v>
      </c>
      <c r="G729" s="139"/>
    </row>
    <row r="730" spans="3:7" ht="15" customHeight="1">
      <c r="D730" s="140" t="s">
        <v>2498</v>
      </c>
    </row>
    <row r="731" spans="3:7" ht="15" customHeight="1">
      <c r="D731" s="140" t="s">
        <v>2499</v>
      </c>
    </row>
    <row r="732" spans="3:7" ht="15" customHeight="1">
      <c r="D732" s="140" t="s">
        <v>2496</v>
      </c>
    </row>
    <row r="733" spans="3:7" ht="15" customHeight="1">
      <c r="D733" s="140" t="s">
        <v>2518</v>
      </c>
    </row>
    <row r="734" spans="3:7" ht="15" customHeight="1">
      <c r="D734" s="140" t="s">
        <v>2660</v>
      </c>
    </row>
    <row r="735" spans="3:7" ht="15" customHeight="1">
      <c r="D735" s="140" t="s">
        <v>2519</v>
      </c>
    </row>
    <row r="736" spans="3:7" ht="15" customHeight="1">
      <c r="D736" s="140" t="s">
        <v>2520</v>
      </c>
    </row>
    <row r="737" spans="1:5" ht="15" customHeight="1">
      <c r="D737" s="140" t="s">
        <v>2787</v>
      </c>
    </row>
    <row r="738" spans="1:5" ht="15" customHeight="1">
      <c r="A738" s="82">
        <v>64</v>
      </c>
      <c r="B738" s="171" t="s">
        <v>669</v>
      </c>
    </row>
    <row r="739" spans="1:5" ht="15" customHeight="1">
      <c r="C739" s="140" t="s">
        <v>688</v>
      </c>
    </row>
    <row r="740" spans="1:5" ht="15" customHeight="1">
      <c r="D740" s="140" t="s">
        <v>650</v>
      </c>
    </row>
    <row r="741" spans="1:5" ht="15" customHeight="1">
      <c r="D741" s="140" t="s">
        <v>670</v>
      </c>
    </row>
    <row r="742" spans="1:5" ht="15" customHeight="1">
      <c r="A742" s="82">
        <v>65</v>
      </c>
      <c r="B742" s="140" t="s">
        <v>304</v>
      </c>
      <c r="E742" s="140" t="s">
        <v>882</v>
      </c>
    </row>
    <row r="743" spans="1:5" ht="15" customHeight="1">
      <c r="A743" s="82">
        <v>66</v>
      </c>
      <c r="B743" s="140" t="s">
        <v>467</v>
      </c>
      <c r="E743" s="140" t="s">
        <v>623</v>
      </c>
    </row>
    <row r="744" spans="1:5" ht="15" customHeight="1">
      <c r="A744" s="82">
        <v>67</v>
      </c>
      <c r="B744" s="171" t="s">
        <v>399</v>
      </c>
      <c r="E744" s="140" t="s">
        <v>2452</v>
      </c>
    </row>
    <row r="745" spans="1:5" ht="15" customHeight="1">
      <c r="B745" s="171"/>
      <c r="C745" s="140" t="s">
        <v>2453</v>
      </c>
    </row>
    <row r="746" spans="1:5" ht="15" customHeight="1">
      <c r="B746" s="171"/>
      <c r="C746" s="140" t="s">
        <v>2555</v>
      </c>
    </row>
    <row r="747" spans="1:5" ht="15" customHeight="1">
      <c r="A747" s="82">
        <v>68</v>
      </c>
      <c r="B747" s="140" t="s">
        <v>309</v>
      </c>
    </row>
    <row r="748" spans="1:5" ht="15" customHeight="1">
      <c r="A748" s="82">
        <v>69</v>
      </c>
      <c r="B748" s="140" t="s">
        <v>398</v>
      </c>
    </row>
    <row r="749" spans="1:5" ht="15" customHeight="1">
      <c r="C749" s="140" t="s">
        <v>2135</v>
      </c>
    </row>
    <row r="750" spans="1:5" ht="15" customHeight="1">
      <c r="C750" s="140" t="s">
        <v>2136</v>
      </c>
    </row>
    <row r="751" spans="1:5" ht="15" customHeight="1">
      <c r="A751" s="82">
        <v>70</v>
      </c>
      <c r="B751" s="140" t="s">
        <v>408</v>
      </c>
    </row>
    <row r="752" spans="1:5" ht="15" customHeight="1">
      <c r="A752" s="82">
        <v>71</v>
      </c>
      <c r="B752" s="171" t="s">
        <v>2472</v>
      </c>
    </row>
    <row r="753" spans="1:5" ht="15" customHeight="1">
      <c r="C753" s="140" t="s">
        <v>2541</v>
      </c>
    </row>
    <row r="754" spans="1:5" ht="15" customHeight="1">
      <c r="C754" s="140" t="s">
        <v>423</v>
      </c>
    </row>
    <row r="755" spans="1:5" ht="15" customHeight="1">
      <c r="D755" s="140" t="s">
        <v>2722</v>
      </c>
    </row>
    <row r="756" spans="1:5" ht="15" customHeight="1">
      <c r="C756" s="140" t="s">
        <v>2542</v>
      </c>
    </row>
    <row r="757" spans="1:5" ht="15" customHeight="1">
      <c r="C757" s="140" t="s">
        <v>2545</v>
      </c>
    </row>
    <row r="758" spans="1:5" ht="15" customHeight="1">
      <c r="D758" s="140" t="s">
        <v>2548</v>
      </c>
    </row>
    <row r="759" spans="1:5" ht="15" customHeight="1">
      <c r="D759" s="140" t="s">
        <v>2549</v>
      </c>
    </row>
    <row r="760" spans="1:5" ht="15" customHeight="1">
      <c r="D760" s="140" t="s">
        <v>2546</v>
      </c>
    </row>
    <row r="761" spans="1:5" ht="15" customHeight="1">
      <c r="D761" s="140" t="s">
        <v>2547</v>
      </c>
    </row>
    <row r="762" spans="1:5" ht="15" customHeight="1">
      <c r="B762" s="145"/>
      <c r="C762" s="140" t="s">
        <v>2754</v>
      </c>
      <c r="E762" s="140" t="s">
        <v>2755</v>
      </c>
    </row>
    <row r="763" spans="1:5" ht="15" customHeight="1">
      <c r="A763" s="82">
        <v>72</v>
      </c>
      <c r="B763" s="140" t="s">
        <v>385</v>
      </c>
      <c r="E763" s="140" t="s">
        <v>1169</v>
      </c>
    </row>
    <row r="764" spans="1:5" ht="15" customHeight="1">
      <c r="A764" s="82">
        <v>73</v>
      </c>
      <c r="B764" s="149" t="s">
        <v>402</v>
      </c>
    </row>
    <row r="765" spans="1:5" ht="15" customHeight="1">
      <c r="A765" s="82">
        <v>74</v>
      </c>
      <c r="B765" s="140" t="s">
        <v>409</v>
      </c>
      <c r="E765" s="140" t="s">
        <v>2321</v>
      </c>
    </row>
    <row r="766" spans="1:5" ht="15" customHeight="1">
      <c r="C766" s="140" t="s">
        <v>531</v>
      </c>
    </row>
    <row r="767" spans="1:5" ht="15" customHeight="1">
      <c r="C767" s="140" t="s">
        <v>2356</v>
      </c>
    </row>
    <row r="768" spans="1:5" ht="15" customHeight="1">
      <c r="C768" s="140" t="s">
        <v>2357</v>
      </c>
    </row>
    <row r="769" spans="1:12" ht="15" customHeight="1">
      <c r="A769" s="82">
        <v>75</v>
      </c>
      <c r="B769" s="149" t="s">
        <v>403</v>
      </c>
    </row>
    <row r="770" spans="1:12" ht="15" customHeight="1">
      <c r="A770" s="82">
        <v>76</v>
      </c>
      <c r="B770" s="171" t="s">
        <v>444</v>
      </c>
      <c r="E770" s="140" t="s">
        <v>2545</v>
      </c>
    </row>
    <row r="771" spans="1:12" ht="15" customHeight="1">
      <c r="C771" s="140" t="s">
        <v>2330</v>
      </c>
    </row>
    <row r="772" spans="1:12" ht="15" customHeight="1">
      <c r="A772" s="82">
        <v>77</v>
      </c>
      <c r="B772" s="149" t="s">
        <v>404</v>
      </c>
    </row>
    <row r="773" spans="1:12" ht="15" customHeight="1">
      <c r="A773" s="82">
        <v>78</v>
      </c>
      <c r="B773" s="140" t="s">
        <v>534</v>
      </c>
      <c r="E773" s="140" t="s">
        <v>623</v>
      </c>
    </row>
    <row r="774" spans="1:12" ht="15" customHeight="1">
      <c r="A774" s="82">
        <v>79</v>
      </c>
      <c r="B774" s="171" t="s">
        <v>537</v>
      </c>
      <c r="E774" s="140" t="s">
        <v>606</v>
      </c>
      <c r="H774" s="139"/>
      <c r="I774" s="141"/>
      <c r="K774" s="139"/>
      <c r="L774" s="139"/>
    </row>
    <row r="775" spans="1:12" ht="15" customHeight="1">
      <c r="C775" s="140" t="s">
        <v>607</v>
      </c>
    </row>
    <row r="776" spans="1:12" ht="15" customHeight="1">
      <c r="C776" s="140" t="s">
        <v>1045</v>
      </c>
    </row>
    <row r="777" spans="1:12" ht="15" customHeight="1">
      <c r="C777" s="140" t="s">
        <v>1046</v>
      </c>
    </row>
    <row r="778" spans="1:12" ht="15" customHeight="1">
      <c r="C778" s="140" t="s">
        <v>2466</v>
      </c>
    </row>
    <row r="779" spans="1:12" ht="15" customHeight="1">
      <c r="D779" s="140" t="s">
        <v>2473</v>
      </c>
    </row>
    <row r="780" spans="1:12" ht="15" customHeight="1">
      <c r="C780" s="140" t="s">
        <v>2532</v>
      </c>
    </row>
    <row r="781" spans="1:12" ht="15" customHeight="1">
      <c r="D781" s="140" t="s">
        <v>2533</v>
      </c>
    </row>
    <row r="782" spans="1:12" ht="15" customHeight="1">
      <c r="D782" s="140" t="s">
        <v>2534</v>
      </c>
    </row>
    <row r="783" spans="1:12" ht="15" customHeight="1">
      <c r="C783" s="140" t="s">
        <v>2469</v>
      </c>
    </row>
    <row r="784" spans="1:12" ht="15" customHeight="1">
      <c r="C784" s="140" t="s">
        <v>2535</v>
      </c>
    </row>
    <row r="785" spans="1:12" ht="15" customHeight="1">
      <c r="C785" s="140" t="s">
        <v>2536</v>
      </c>
    </row>
    <row r="786" spans="1:12" ht="15" customHeight="1">
      <c r="A786" s="82">
        <v>80</v>
      </c>
      <c r="B786" s="171" t="s">
        <v>541</v>
      </c>
    </row>
    <row r="787" spans="1:12" ht="15" customHeight="1">
      <c r="B787" s="145"/>
      <c r="C787" s="140" t="s">
        <v>2551</v>
      </c>
    </row>
    <row r="788" spans="1:12" ht="15" customHeight="1">
      <c r="A788" s="82">
        <v>81</v>
      </c>
      <c r="B788" s="140" t="s">
        <v>2315</v>
      </c>
    </row>
    <row r="789" spans="1:12" ht="15" customHeight="1">
      <c r="A789" s="82">
        <v>82</v>
      </c>
      <c r="B789" s="149" t="s">
        <v>405</v>
      </c>
    </row>
    <row r="790" spans="1:12" ht="15" customHeight="1">
      <c r="A790" s="82">
        <v>83</v>
      </c>
      <c r="B790" s="171" t="s">
        <v>235</v>
      </c>
    </row>
    <row r="791" spans="1:12" ht="15" customHeight="1">
      <c r="C791" s="140" t="s">
        <v>320</v>
      </c>
    </row>
    <row r="792" spans="1:12" ht="15" customHeight="1">
      <c r="C792" s="140" t="s">
        <v>321</v>
      </c>
    </row>
    <row r="793" spans="1:12" ht="15" customHeight="1">
      <c r="C793" s="140" t="s">
        <v>322</v>
      </c>
    </row>
    <row r="794" spans="1:12" ht="15" customHeight="1">
      <c r="C794" s="140" t="s">
        <v>380</v>
      </c>
    </row>
    <row r="795" spans="1:12" ht="15" customHeight="1">
      <c r="C795" s="140" t="s">
        <v>386</v>
      </c>
    </row>
    <row r="796" spans="1:12" ht="15" customHeight="1">
      <c r="C796" s="140" t="s">
        <v>504</v>
      </c>
      <c r="L796" s="148"/>
    </row>
    <row r="797" spans="1:12" ht="15" customHeight="1">
      <c r="C797" s="140" t="s">
        <v>769</v>
      </c>
    </row>
    <row r="798" spans="1:12" ht="15" customHeight="1">
      <c r="C798" s="140" t="s">
        <v>1005</v>
      </c>
    </row>
    <row r="799" spans="1:12" ht="15" customHeight="1">
      <c r="A799" s="82">
        <v>84</v>
      </c>
      <c r="B799" s="140" t="s">
        <v>536</v>
      </c>
      <c r="L799" s="139"/>
    </row>
    <row r="800" spans="1:12" ht="15" customHeight="1">
      <c r="C800" s="140" t="s">
        <v>549</v>
      </c>
    </row>
    <row r="801" spans="1:5" ht="15" customHeight="1">
      <c r="C801" s="140" t="s">
        <v>554</v>
      </c>
    </row>
    <row r="802" spans="1:5" ht="15" customHeight="1">
      <c r="C802" s="140" t="s">
        <v>2537</v>
      </c>
    </row>
    <row r="803" spans="1:5" ht="15" customHeight="1">
      <c r="C803" s="140" t="s">
        <v>2721</v>
      </c>
    </row>
    <row r="804" spans="1:5" ht="15" customHeight="1">
      <c r="A804" s="82">
        <v>85</v>
      </c>
      <c r="B804" s="171" t="s">
        <v>2454</v>
      </c>
      <c r="E804" s="140" t="s">
        <v>2455</v>
      </c>
    </row>
    <row r="805" spans="1:5" ht="15" customHeight="1">
      <c r="B805" s="171"/>
      <c r="C805" s="140" t="s">
        <v>2456</v>
      </c>
    </row>
    <row r="806" spans="1:5" ht="15" customHeight="1">
      <c r="C806" s="140" t="s">
        <v>379</v>
      </c>
    </row>
    <row r="807" spans="1:5" ht="15" customHeight="1">
      <c r="A807" s="82">
        <v>86</v>
      </c>
      <c r="B807" s="140" t="s">
        <v>407</v>
      </c>
    </row>
    <row r="808" spans="1:5" ht="15" customHeight="1">
      <c r="A808" s="82">
        <v>87</v>
      </c>
      <c r="B808" s="171" t="s">
        <v>595</v>
      </c>
    </row>
    <row r="809" spans="1:5" ht="15" customHeight="1">
      <c r="C809" s="140" t="s">
        <v>961</v>
      </c>
    </row>
    <row r="810" spans="1:5" ht="15" customHeight="1">
      <c r="C810" s="140" t="s">
        <v>2756</v>
      </c>
      <c r="E810" s="140" t="s">
        <v>2757</v>
      </c>
    </row>
    <row r="811" spans="1:5" ht="15" customHeight="1">
      <c r="A811" s="82">
        <v>88</v>
      </c>
      <c r="B811" s="171" t="s">
        <v>594</v>
      </c>
    </row>
    <row r="812" spans="1:5" ht="15" customHeight="1">
      <c r="C812" s="140" t="s">
        <v>593</v>
      </c>
    </row>
    <row r="813" spans="1:5" ht="15" customHeight="1">
      <c r="C813" s="140" t="s">
        <v>596</v>
      </c>
    </row>
    <row r="814" spans="1:5" ht="15" customHeight="1">
      <c r="C814" s="140" t="s">
        <v>597</v>
      </c>
    </row>
    <row r="815" spans="1:5" ht="15" customHeight="1">
      <c r="C815" s="140" t="s">
        <v>2512</v>
      </c>
    </row>
    <row r="816" spans="1:5" ht="15" customHeight="1">
      <c r="C816" s="140" t="s">
        <v>2569</v>
      </c>
    </row>
    <row r="817" spans="1:12" ht="15" customHeight="1">
      <c r="A817" s="82">
        <v>89</v>
      </c>
      <c r="B817" s="140" t="s">
        <v>2314</v>
      </c>
    </row>
    <row r="818" spans="1:12" ht="15" customHeight="1">
      <c r="A818" s="82">
        <v>90</v>
      </c>
      <c r="B818" s="171" t="s">
        <v>451</v>
      </c>
    </row>
    <row r="819" spans="1:12" ht="15" customHeight="1">
      <c r="C819" s="140" t="s">
        <v>1030</v>
      </c>
    </row>
    <row r="820" spans="1:12" ht="15" customHeight="1">
      <c r="C820" s="140" t="s">
        <v>2394</v>
      </c>
    </row>
    <row r="821" spans="1:12" ht="15" customHeight="1">
      <c r="A821" s="82">
        <v>91</v>
      </c>
      <c r="B821" s="171" t="s">
        <v>604</v>
      </c>
      <c r="L821" s="141"/>
    </row>
    <row r="822" spans="1:12" ht="15" customHeight="1">
      <c r="A822" s="82">
        <v>92</v>
      </c>
      <c r="B822" s="140" t="s">
        <v>569</v>
      </c>
      <c r="E822" s="140" t="s">
        <v>606</v>
      </c>
    </row>
    <row r="823" spans="1:12" ht="15" customHeight="1">
      <c r="A823" s="82">
        <v>93</v>
      </c>
      <c r="B823" s="140" t="s">
        <v>540</v>
      </c>
    </row>
    <row r="824" spans="1:12" ht="15" customHeight="1">
      <c r="A824" s="82">
        <v>94</v>
      </c>
      <c r="B824" s="171" t="s">
        <v>605</v>
      </c>
    </row>
    <row r="825" spans="1:12" ht="15" customHeight="1">
      <c r="A825" s="82">
        <v>95</v>
      </c>
      <c r="B825" s="171" t="s">
        <v>598</v>
      </c>
    </row>
    <row r="826" spans="1:12" ht="15" customHeight="1">
      <c r="C826" s="140" t="s">
        <v>599</v>
      </c>
    </row>
    <row r="827" spans="1:12" ht="15" customHeight="1">
      <c r="A827" s="82">
        <v>96</v>
      </c>
      <c r="B827" s="140" t="s">
        <v>2313</v>
      </c>
    </row>
    <row r="828" spans="1:12" ht="15" customHeight="1">
      <c r="A828" s="82">
        <v>97</v>
      </c>
      <c r="B828" s="140" t="s">
        <v>520</v>
      </c>
    </row>
    <row r="829" spans="1:12" ht="15" customHeight="1">
      <c r="C829" s="140" t="s">
        <v>521</v>
      </c>
    </row>
    <row r="830" spans="1:12" ht="15" customHeight="1">
      <c r="C830" s="140" t="s">
        <v>524</v>
      </c>
    </row>
    <row r="831" spans="1:12" ht="15" customHeight="1">
      <c r="C831" s="140" t="s">
        <v>522</v>
      </c>
    </row>
    <row r="832" spans="1:12" ht="15" customHeight="1">
      <c r="C832" s="140" t="s">
        <v>525</v>
      </c>
    </row>
    <row r="833" spans="1:4" ht="15" customHeight="1">
      <c r="C833" s="149" t="s">
        <v>2378</v>
      </c>
    </row>
    <row r="834" spans="1:4" ht="15" customHeight="1">
      <c r="C834" s="140" t="s">
        <v>529</v>
      </c>
    </row>
    <row r="835" spans="1:4" ht="15" customHeight="1">
      <c r="D835" s="140" t="s">
        <v>530</v>
      </c>
    </row>
    <row r="836" spans="1:4" ht="15" customHeight="1">
      <c r="C836" s="140" t="s">
        <v>523</v>
      </c>
    </row>
    <row r="837" spans="1:4" ht="15" customHeight="1">
      <c r="D837" s="140" t="s">
        <v>528</v>
      </c>
    </row>
    <row r="838" spans="1:4" ht="15" customHeight="1">
      <c r="D838" s="140" t="s">
        <v>526</v>
      </c>
    </row>
    <row r="839" spans="1:4" ht="14" customHeight="1">
      <c r="D839" s="140" t="s">
        <v>527</v>
      </c>
    </row>
    <row r="840" spans="1:4" ht="14" customHeight="1">
      <c r="C840" s="149" t="s">
        <v>2386</v>
      </c>
    </row>
    <row r="841" spans="1:4" ht="14" customHeight="1">
      <c r="C841" s="149" t="s">
        <v>2377</v>
      </c>
    </row>
    <row r="842" spans="1:4" ht="14" customHeight="1">
      <c r="C842" s="149" t="s">
        <v>2584</v>
      </c>
    </row>
    <row r="843" spans="1:4" ht="14" customHeight="1">
      <c r="A843" s="82">
        <v>98</v>
      </c>
      <c r="B843" s="171" t="s">
        <v>608</v>
      </c>
    </row>
    <row r="844" spans="1:4" ht="14" customHeight="1">
      <c r="A844" s="82">
        <v>99</v>
      </c>
      <c r="B844" s="145" t="s">
        <v>600</v>
      </c>
    </row>
    <row r="845" spans="1:4" ht="14" customHeight="1">
      <c r="A845" s="82">
        <v>100</v>
      </c>
      <c r="B845" s="171" t="s">
        <v>434</v>
      </c>
    </row>
    <row r="846" spans="1:4" ht="14" customHeight="1">
      <c r="C846" s="140" t="s">
        <v>362</v>
      </c>
    </row>
    <row r="847" spans="1:4" ht="15" customHeight="1">
      <c r="D847" s="140" t="s">
        <v>361</v>
      </c>
    </row>
    <row r="848" spans="1:4" ht="15" customHeight="1">
      <c r="C848" s="140" t="s">
        <v>435</v>
      </c>
    </row>
    <row r="849" spans="1:10" ht="15" customHeight="1">
      <c r="D849" s="140" t="s">
        <v>538</v>
      </c>
    </row>
    <row r="850" spans="1:10" ht="15" customHeight="1">
      <c r="C850" s="140" t="s">
        <v>436</v>
      </c>
    </row>
    <row r="851" spans="1:10" ht="15" customHeight="1">
      <c r="C851" s="140" t="s">
        <v>241</v>
      </c>
    </row>
    <row r="852" spans="1:10" ht="15" customHeight="1">
      <c r="D852" s="140" t="s">
        <v>582</v>
      </c>
    </row>
    <row r="853" spans="1:10" ht="15" customHeight="1">
      <c r="D853" s="140" t="s">
        <v>2748</v>
      </c>
    </row>
    <row r="854" spans="1:10" ht="15" customHeight="1">
      <c r="C854" s="140" t="s">
        <v>347</v>
      </c>
      <c r="J854" s="141"/>
    </row>
    <row r="855" spans="1:10" ht="15" customHeight="1">
      <c r="C855" s="140" t="s">
        <v>2491</v>
      </c>
    </row>
    <row r="856" spans="1:10" ht="15" customHeight="1">
      <c r="C856" s="140" t="s">
        <v>2493</v>
      </c>
    </row>
    <row r="857" spans="1:10" ht="15" customHeight="1">
      <c r="C857" s="140" t="s">
        <v>2677</v>
      </c>
    </row>
    <row r="858" spans="1:10" ht="15" customHeight="1">
      <c r="C858" s="140" t="s">
        <v>2747</v>
      </c>
    </row>
    <row r="859" spans="1:10" ht="15" customHeight="1">
      <c r="A859" s="82">
        <v>101</v>
      </c>
      <c r="B859" s="171" t="s">
        <v>374</v>
      </c>
    </row>
    <row r="860" spans="1:10" ht="15" customHeight="1">
      <c r="B860" s="171"/>
      <c r="C860" s="140" t="s">
        <v>2424</v>
      </c>
    </row>
    <row r="861" spans="1:10" ht="15" customHeight="1">
      <c r="A861" s="82">
        <v>102</v>
      </c>
      <c r="B861" s="140" t="s">
        <v>2312</v>
      </c>
    </row>
    <row r="862" spans="1:10" ht="15" customHeight="1">
      <c r="A862" s="82">
        <v>103</v>
      </c>
      <c r="B862" s="140" t="s">
        <v>2340</v>
      </c>
    </row>
    <row r="863" spans="1:10" ht="15" customHeight="1">
      <c r="A863" s="82">
        <v>104</v>
      </c>
      <c r="B863" s="140" t="s">
        <v>646</v>
      </c>
    </row>
    <row r="864" spans="1:10" ht="15" customHeight="1">
      <c r="C864" s="140" t="s">
        <v>2789</v>
      </c>
    </row>
    <row r="865" spans="1:4" ht="15" customHeight="1">
      <c r="A865" s="82">
        <v>105</v>
      </c>
      <c r="B865" s="140" t="s">
        <v>410</v>
      </c>
    </row>
    <row r="866" spans="1:4" ht="15" customHeight="1">
      <c r="A866" s="82">
        <v>106</v>
      </c>
      <c r="B866" s="140" t="s">
        <v>445</v>
      </c>
    </row>
    <row r="867" spans="1:4" ht="15" customHeight="1">
      <c r="A867" s="82">
        <v>107</v>
      </c>
      <c r="B867" s="171" t="s">
        <v>551</v>
      </c>
    </row>
    <row r="868" spans="1:4" ht="15" customHeight="1">
      <c r="B868" s="171"/>
      <c r="C868" s="140" t="s">
        <v>2470</v>
      </c>
    </row>
    <row r="869" spans="1:4" ht="15" customHeight="1">
      <c r="A869" s="82">
        <v>108</v>
      </c>
      <c r="B869" s="140" t="s">
        <v>545</v>
      </c>
    </row>
    <row r="870" spans="1:4" ht="15" customHeight="1">
      <c r="A870" s="82">
        <v>109</v>
      </c>
      <c r="B870" s="140" t="s">
        <v>519</v>
      </c>
    </row>
    <row r="871" spans="1:4" ht="15" customHeight="1">
      <c r="A871" s="82">
        <v>110</v>
      </c>
      <c r="B871" s="140" t="s">
        <v>518</v>
      </c>
    </row>
    <row r="872" spans="1:4" ht="15" customHeight="1">
      <c r="A872" s="82">
        <v>111</v>
      </c>
      <c r="B872" s="140" t="s">
        <v>547</v>
      </c>
    </row>
    <row r="873" spans="1:4" ht="15" customHeight="1">
      <c r="C873" s="140" t="s">
        <v>2483</v>
      </c>
    </row>
    <row r="874" spans="1:4" ht="15" customHeight="1">
      <c r="A874" s="82">
        <v>112</v>
      </c>
      <c r="B874" s="140" t="s">
        <v>548</v>
      </c>
    </row>
    <row r="875" spans="1:4" ht="15" customHeight="1">
      <c r="A875" s="82">
        <v>113</v>
      </c>
      <c r="B875" s="171" t="s">
        <v>2111</v>
      </c>
    </row>
    <row r="876" spans="1:4" ht="15" customHeight="1">
      <c r="B876" s="171"/>
      <c r="C876" s="140" t="s">
        <v>421</v>
      </c>
    </row>
    <row r="877" spans="1:4" ht="15" customHeight="1">
      <c r="D877" s="140" t="s">
        <v>422</v>
      </c>
    </row>
    <row r="878" spans="1:4" ht="15" customHeight="1">
      <c r="D878" s="140" t="s">
        <v>2579</v>
      </c>
    </row>
    <row r="879" spans="1:4" ht="15" customHeight="1">
      <c r="C879" s="140" t="s">
        <v>441</v>
      </c>
    </row>
    <row r="880" spans="1:4" ht="15" customHeight="1">
      <c r="C880" s="140" t="s">
        <v>462</v>
      </c>
    </row>
    <row r="881" spans="1:10" ht="15" customHeight="1">
      <c r="C881" s="140" t="s">
        <v>1165</v>
      </c>
      <c r="J881" s="141"/>
    </row>
    <row r="882" spans="1:10" ht="15" customHeight="1">
      <c r="C882" s="140" t="s">
        <v>393</v>
      </c>
    </row>
    <row r="883" spans="1:10" ht="15" customHeight="1">
      <c r="C883" s="140" t="s">
        <v>2122</v>
      </c>
    </row>
    <row r="884" spans="1:10" ht="15" customHeight="1">
      <c r="C884" s="140" t="s">
        <v>2647</v>
      </c>
    </row>
    <row r="885" spans="1:10" ht="15" customHeight="1">
      <c r="C885" s="140" t="s">
        <v>2648</v>
      </c>
    </row>
    <row r="886" spans="1:10" ht="15" customHeight="1">
      <c r="C886" s="140" t="s">
        <v>2480</v>
      </c>
    </row>
    <row r="887" spans="1:10" ht="15" customHeight="1">
      <c r="D887" s="140" t="s">
        <v>2481</v>
      </c>
    </row>
    <row r="888" spans="1:10" ht="15" customHeight="1">
      <c r="D888" s="140" t="s">
        <v>2649</v>
      </c>
    </row>
    <row r="889" spans="1:10" ht="15" customHeight="1">
      <c r="C889" s="140" t="s">
        <v>2723</v>
      </c>
    </row>
    <row r="890" spans="1:10" ht="15" customHeight="1">
      <c r="D890" s="154" t="s">
        <v>2724</v>
      </c>
    </row>
    <row r="891" spans="1:10" ht="15" customHeight="1">
      <c r="A891" s="82">
        <v>114</v>
      </c>
      <c r="B891" s="140" t="s">
        <v>550</v>
      </c>
    </row>
    <row r="892" spans="1:10" ht="15" customHeight="1">
      <c r="A892" s="82">
        <v>115</v>
      </c>
      <c r="B892" s="171" t="s">
        <v>568</v>
      </c>
      <c r="E892" s="140" t="s">
        <v>2729</v>
      </c>
    </row>
    <row r="893" spans="1:10" ht="15" customHeight="1">
      <c r="A893" s="82">
        <v>116</v>
      </c>
      <c r="B893" s="140" t="s">
        <v>552</v>
      </c>
    </row>
    <row r="894" spans="1:10" ht="15" customHeight="1">
      <c r="A894" s="82">
        <v>117</v>
      </c>
      <c r="B894" s="171" t="s">
        <v>556</v>
      </c>
    </row>
    <row r="895" spans="1:10" ht="15" customHeight="1">
      <c r="C895" s="140" t="s">
        <v>557</v>
      </c>
    </row>
    <row r="896" spans="1:10" ht="15" customHeight="1">
      <c r="C896" s="140" t="s">
        <v>2474</v>
      </c>
    </row>
    <row r="897" spans="1:5" ht="15" customHeight="1">
      <c r="C897" s="140" t="s">
        <v>2775</v>
      </c>
    </row>
    <row r="898" spans="1:5" ht="15" customHeight="1">
      <c r="A898" s="82">
        <v>118</v>
      </c>
      <c r="B898" s="140" t="s">
        <v>553</v>
      </c>
      <c r="E898" s="140" t="s">
        <v>2341</v>
      </c>
    </row>
    <row r="899" spans="1:5" ht="15" customHeight="1">
      <c r="A899" s="82">
        <v>119</v>
      </c>
      <c r="B899" s="140" t="s">
        <v>555</v>
      </c>
    </row>
    <row r="900" spans="1:5" ht="15" customHeight="1">
      <c r="A900" s="82">
        <v>120</v>
      </c>
      <c r="B900" s="140" t="s">
        <v>558</v>
      </c>
      <c r="E900" s="140" t="s">
        <v>2342</v>
      </c>
    </row>
    <row r="901" spans="1:5" ht="15" customHeight="1">
      <c r="A901" s="82">
        <v>121</v>
      </c>
      <c r="B901" s="171" t="s">
        <v>562</v>
      </c>
    </row>
    <row r="902" spans="1:5" ht="15" customHeight="1">
      <c r="A902" s="82">
        <v>122</v>
      </c>
      <c r="B902" s="140" t="s">
        <v>559</v>
      </c>
      <c r="E902" s="140" t="s">
        <v>2343</v>
      </c>
    </row>
    <row r="903" spans="1:5" ht="15" customHeight="1">
      <c r="A903" s="82">
        <v>123</v>
      </c>
      <c r="B903" s="140" t="s">
        <v>561</v>
      </c>
    </row>
    <row r="904" spans="1:5" ht="15" customHeight="1">
      <c r="A904" s="82">
        <v>124</v>
      </c>
      <c r="B904" s="140" t="s">
        <v>567</v>
      </c>
      <c r="E904" s="140" t="s">
        <v>658</v>
      </c>
    </row>
    <row r="905" spans="1:5" ht="15" customHeight="1">
      <c r="C905" s="140" t="s">
        <v>2068</v>
      </c>
    </row>
    <row r="906" spans="1:5" ht="15" customHeight="1">
      <c r="D906" s="140" t="s">
        <v>2066</v>
      </c>
    </row>
    <row r="907" spans="1:5" ht="15" customHeight="1">
      <c r="D907" s="140" t="s">
        <v>2067</v>
      </c>
    </row>
    <row r="908" spans="1:5" ht="15" customHeight="1">
      <c r="A908" s="82">
        <v>125</v>
      </c>
      <c r="B908" s="140" t="s">
        <v>563</v>
      </c>
    </row>
    <row r="909" spans="1:5" ht="15" customHeight="1">
      <c r="A909" s="82">
        <v>126</v>
      </c>
      <c r="B909" s="140" t="s">
        <v>564</v>
      </c>
    </row>
    <row r="910" spans="1:5" ht="15" customHeight="1">
      <c r="A910" s="82">
        <v>127</v>
      </c>
      <c r="B910" s="140" t="s">
        <v>566</v>
      </c>
      <c r="E910" s="140" t="s">
        <v>2150</v>
      </c>
    </row>
    <row r="911" spans="1:5" ht="15" customHeight="1">
      <c r="A911" s="82">
        <v>128</v>
      </c>
      <c r="B911" s="171" t="s">
        <v>575</v>
      </c>
    </row>
    <row r="912" spans="1:5" ht="15" customHeight="1">
      <c r="A912" s="82">
        <v>129</v>
      </c>
      <c r="B912" s="140" t="s">
        <v>565</v>
      </c>
    </row>
    <row r="913" spans="1:9" ht="15" customHeight="1">
      <c r="A913" s="82">
        <v>130</v>
      </c>
      <c r="B913" s="140" t="s">
        <v>2184</v>
      </c>
    </row>
    <row r="914" spans="1:9" ht="15" customHeight="1">
      <c r="A914" s="82">
        <v>131</v>
      </c>
      <c r="B914" s="140" t="s">
        <v>570</v>
      </c>
    </row>
    <row r="915" spans="1:9" ht="15" customHeight="1">
      <c r="A915" s="82">
        <v>132</v>
      </c>
      <c r="B915" s="171" t="s">
        <v>647</v>
      </c>
    </row>
    <row r="916" spans="1:9" ht="15" customHeight="1">
      <c r="C916" s="140" t="s">
        <v>947</v>
      </c>
      <c r="I916" s="139"/>
    </row>
    <row r="917" spans="1:9" ht="15" customHeight="1">
      <c r="C917" s="140" t="s">
        <v>948</v>
      </c>
      <c r="I917" s="141"/>
    </row>
    <row r="918" spans="1:9" ht="15" customHeight="1">
      <c r="C918" s="140" t="s">
        <v>979</v>
      </c>
    </row>
    <row r="919" spans="1:9" ht="15" customHeight="1">
      <c r="D919" s="140" t="s">
        <v>980</v>
      </c>
    </row>
    <row r="920" spans="1:9" ht="15" customHeight="1">
      <c r="C920" s="140" t="s">
        <v>1040</v>
      </c>
    </row>
    <row r="921" spans="1:9" ht="15" customHeight="1">
      <c r="D921" s="140" t="s">
        <v>1039</v>
      </c>
      <c r="I921" s="139"/>
    </row>
    <row r="922" spans="1:9" ht="15" customHeight="1">
      <c r="C922" s="140" t="s">
        <v>1065</v>
      </c>
      <c r="I922" s="139"/>
    </row>
    <row r="923" spans="1:9" ht="15" customHeight="1">
      <c r="C923" s="140" t="s">
        <v>1116</v>
      </c>
    </row>
    <row r="924" spans="1:9" ht="15" customHeight="1">
      <c r="D924" s="140" t="s">
        <v>1117</v>
      </c>
      <c r="I924" s="139"/>
    </row>
    <row r="925" spans="1:9" ht="15" customHeight="1">
      <c r="C925" s="140" t="s">
        <v>2182</v>
      </c>
    </row>
    <row r="926" spans="1:9" ht="15" customHeight="1">
      <c r="C926" s="140" t="s">
        <v>2383</v>
      </c>
    </row>
    <row r="927" spans="1:9" ht="15" customHeight="1">
      <c r="C927" s="140" t="s">
        <v>2447</v>
      </c>
    </row>
    <row r="928" spans="1:9" ht="15" customHeight="1">
      <c r="A928" s="82">
        <v>133</v>
      </c>
      <c r="B928" s="140" t="s">
        <v>571</v>
      </c>
    </row>
    <row r="929" spans="1:5" ht="15" customHeight="1">
      <c r="C929" s="140" t="s">
        <v>572</v>
      </c>
    </row>
    <row r="930" spans="1:5" ht="15" customHeight="1">
      <c r="D930" s="149" t="s">
        <v>573</v>
      </c>
    </row>
    <row r="931" spans="1:5" ht="15" customHeight="1">
      <c r="D931" s="149" t="s">
        <v>574</v>
      </c>
    </row>
    <row r="932" spans="1:5" ht="15" customHeight="1">
      <c r="A932" s="82">
        <v>134</v>
      </c>
      <c r="B932" s="140" t="s">
        <v>2530</v>
      </c>
    </row>
    <row r="933" spans="1:5" ht="15" customHeight="1">
      <c r="A933" s="82">
        <v>135</v>
      </c>
      <c r="B933" s="140" t="s">
        <v>576</v>
      </c>
    </row>
    <row r="934" spans="1:5" ht="15" customHeight="1">
      <c r="A934" s="82">
        <v>136</v>
      </c>
      <c r="B934" s="171" t="s">
        <v>1137</v>
      </c>
      <c r="E934" s="140" t="s">
        <v>2111</v>
      </c>
    </row>
    <row r="935" spans="1:5" ht="15" customHeight="1">
      <c r="A935" s="82">
        <v>137</v>
      </c>
      <c r="B935" s="140" t="s">
        <v>583</v>
      </c>
    </row>
    <row r="936" spans="1:5" ht="15" customHeight="1">
      <c r="A936" s="82">
        <v>138</v>
      </c>
      <c r="B936" s="140" t="s">
        <v>585</v>
      </c>
      <c r="E936" s="146" t="s">
        <v>586</v>
      </c>
    </row>
    <row r="937" spans="1:5" ht="15" customHeight="1">
      <c r="A937" s="82">
        <v>139</v>
      </c>
      <c r="B937" s="140" t="s">
        <v>587</v>
      </c>
    </row>
    <row r="938" spans="1:5" ht="15" customHeight="1">
      <c r="A938" s="82">
        <v>140</v>
      </c>
      <c r="B938" s="140" t="s">
        <v>588</v>
      </c>
    </row>
    <row r="939" spans="1:5" ht="15" customHeight="1">
      <c r="A939" s="82">
        <v>141</v>
      </c>
      <c r="B939" s="171" t="s">
        <v>698</v>
      </c>
    </row>
    <row r="940" spans="1:5" ht="15" customHeight="1">
      <c r="A940" s="82">
        <v>142</v>
      </c>
      <c r="B940" s="140" t="s">
        <v>589</v>
      </c>
    </row>
    <row r="941" spans="1:5" ht="15" customHeight="1">
      <c r="A941" s="82">
        <v>143</v>
      </c>
      <c r="B941" s="140" t="s">
        <v>590</v>
      </c>
    </row>
    <row r="942" spans="1:5" ht="15" customHeight="1">
      <c r="A942" s="82">
        <v>144</v>
      </c>
      <c r="B942" s="140" t="s">
        <v>591</v>
      </c>
    </row>
    <row r="943" spans="1:5" ht="15" customHeight="1">
      <c r="C943" s="140" t="s">
        <v>592</v>
      </c>
    </row>
    <row r="944" spans="1:5" ht="15" customHeight="1">
      <c r="A944" s="82">
        <v>145</v>
      </c>
      <c r="B944" s="171" t="s">
        <v>2094</v>
      </c>
    </row>
    <row r="945" spans="1:5" ht="15" customHeight="1">
      <c r="A945" s="82">
        <v>146</v>
      </c>
      <c r="B945" s="140" t="s">
        <v>665</v>
      </c>
      <c r="E945" s="140" t="s">
        <v>472</v>
      </c>
    </row>
    <row r="946" spans="1:5" ht="15" customHeight="1">
      <c r="A946" s="82">
        <v>147</v>
      </c>
      <c r="B946" s="140" t="s">
        <v>648</v>
      </c>
    </row>
    <row r="947" spans="1:5" ht="15" customHeight="1">
      <c r="A947" s="82">
        <v>148</v>
      </c>
      <c r="B947" s="171" t="s">
        <v>677</v>
      </c>
    </row>
    <row r="948" spans="1:5" ht="15" customHeight="1">
      <c r="A948" s="82">
        <v>149</v>
      </c>
      <c r="B948" s="140" t="s">
        <v>651</v>
      </c>
    </row>
    <row r="949" spans="1:5" ht="15" customHeight="1">
      <c r="A949" s="82">
        <v>150</v>
      </c>
      <c r="B949" s="140" t="s">
        <v>672</v>
      </c>
    </row>
    <row r="950" spans="1:5" ht="15" customHeight="1">
      <c r="A950" s="82">
        <v>151</v>
      </c>
      <c r="B950" s="171" t="s">
        <v>724</v>
      </c>
    </row>
    <row r="951" spans="1:5" ht="15" customHeight="1">
      <c r="A951" s="82">
        <v>152</v>
      </c>
      <c r="B951" s="140" t="s">
        <v>652</v>
      </c>
    </row>
    <row r="952" spans="1:5" ht="15" customHeight="1">
      <c r="A952" s="82">
        <v>153</v>
      </c>
      <c r="B952" s="140" t="s">
        <v>660</v>
      </c>
    </row>
    <row r="953" spans="1:5" ht="15" customHeight="1">
      <c r="A953" s="82">
        <v>154</v>
      </c>
      <c r="B953" s="171" t="s">
        <v>715</v>
      </c>
    </row>
    <row r="954" spans="1:5" ht="15" customHeight="1">
      <c r="B954" s="171"/>
      <c r="C954" s="140" t="s">
        <v>966</v>
      </c>
    </row>
    <row r="955" spans="1:5" ht="15" customHeight="1">
      <c r="B955" s="171"/>
      <c r="C955" s="140" t="s">
        <v>2141</v>
      </c>
    </row>
    <row r="956" spans="1:5" ht="15" customHeight="1">
      <c r="B956" s="171"/>
      <c r="D956" s="140" t="s">
        <v>2614</v>
      </c>
    </row>
    <row r="957" spans="1:5" ht="15" customHeight="1">
      <c r="B957" s="171"/>
      <c r="D957" s="140" t="s">
        <v>2613</v>
      </c>
    </row>
    <row r="958" spans="1:5" ht="15" customHeight="1">
      <c r="A958" s="82">
        <v>155</v>
      </c>
      <c r="B958" s="140" t="s">
        <v>654</v>
      </c>
    </row>
    <row r="959" spans="1:5" ht="15" customHeight="1">
      <c r="A959" s="82">
        <v>156</v>
      </c>
      <c r="B959" s="140" t="s">
        <v>662</v>
      </c>
    </row>
    <row r="960" spans="1:5" ht="15" customHeight="1">
      <c r="A960" s="82">
        <v>157</v>
      </c>
      <c r="B960" s="140" t="s">
        <v>663</v>
      </c>
    </row>
    <row r="961" spans="1:5" ht="15" customHeight="1">
      <c r="A961" s="82">
        <v>158</v>
      </c>
      <c r="B961" s="140" t="s">
        <v>664</v>
      </c>
    </row>
    <row r="962" spans="1:5" ht="15" customHeight="1">
      <c r="A962" s="82">
        <v>159</v>
      </c>
      <c r="B962" s="171" t="s">
        <v>2331</v>
      </c>
      <c r="E962" s="140" t="s">
        <v>2348</v>
      </c>
    </row>
    <row r="963" spans="1:5" ht="15" customHeight="1">
      <c r="A963" s="82">
        <v>160</v>
      </c>
      <c r="B963" s="140" t="s">
        <v>671</v>
      </c>
    </row>
    <row r="964" spans="1:5" ht="15" customHeight="1">
      <c r="A964" s="82">
        <v>161</v>
      </c>
      <c r="B964" s="140" t="s">
        <v>682</v>
      </c>
    </row>
    <row r="965" spans="1:5" ht="15" customHeight="1">
      <c r="A965" s="82">
        <v>162</v>
      </c>
      <c r="B965" s="171" t="s">
        <v>746</v>
      </c>
    </row>
    <row r="966" spans="1:5" ht="15" customHeight="1">
      <c r="C966" s="140" t="s">
        <v>857</v>
      </c>
    </row>
    <row r="967" spans="1:5" ht="15" customHeight="1">
      <c r="A967" s="82">
        <v>163</v>
      </c>
      <c r="B967" s="140" t="s">
        <v>681</v>
      </c>
    </row>
    <row r="968" spans="1:5" ht="15" customHeight="1">
      <c r="A968" s="82">
        <v>164</v>
      </c>
      <c r="B968" s="140" t="s">
        <v>679</v>
      </c>
    </row>
    <row r="969" spans="1:5" ht="15" customHeight="1">
      <c r="C969" s="140" t="s">
        <v>680</v>
      </c>
    </row>
    <row r="970" spans="1:5" ht="15" customHeight="1">
      <c r="A970" s="82">
        <v>165</v>
      </c>
      <c r="B970" s="171" t="s">
        <v>691</v>
      </c>
      <c r="E970" s="140" t="s">
        <v>2069</v>
      </c>
    </row>
    <row r="971" spans="1:5" ht="15" customHeight="1">
      <c r="A971" s="82">
        <v>166</v>
      </c>
      <c r="B971" s="140" t="s">
        <v>693</v>
      </c>
      <c r="E971" s="140" t="s">
        <v>2348</v>
      </c>
    </row>
    <row r="972" spans="1:5" ht="15" customHeight="1">
      <c r="A972" s="82">
        <v>167</v>
      </c>
      <c r="B972" s="140" t="s">
        <v>668</v>
      </c>
    </row>
    <row r="973" spans="1:5" ht="15" customHeight="1">
      <c r="A973" s="82">
        <v>168</v>
      </c>
      <c r="B973" s="171" t="s">
        <v>2142</v>
      </c>
      <c r="E973" s="140" t="s">
        <v>2361</v>
      </c>
    </row>
    <row r="974" spans="1:5" ht="15" customHeight="1">
      <c r="A974" s="82">
        <v>169</v>
      </c>
      <c r="B974" s="140" t="s">
        <v>708</v>
      </c>
    </row>
    <row r="975" spans="1:5" ht="15" customHeight="1">
      <c r="A975" s="82">
        <v>170</v>
      </c>
      <c r="B975" s="140" t="s">
        <v>709</v>
      </c>
    </row>
    <row r="976" spans="1:5" ht="15" customHeight="1">
      <c r="A976" s="82">
        <v>171</v>
      </c>
      <c r="B976" s="171" t="s">
        <v>866</v>
      </c>
      <c r="E976" s="140" t="s">
        <v>867</v>
      </c>
    </row>
    <row r="977" spans="1:12" ht="15" customHeight="1">
      <c r="C977" s="140" t="s">
        <v>879</v>
      </c>
    </row>
    <row r="978" spans="1:12" ht="15" customHeight="1">
      <c r="A978" s="82">
        <v>172</v>
      </c>
      <c r="B978" s="140" t="s">
        <v>707</v>
      </c>
    </row>
    <row r="979" spans="1:12" ht="15" customHeight="1">
      <c r="A979" s="82">
        <v>173</v>
      </c>
      <c r="B979" s="140" t="s">
        <v>713</v>
      </c>
    </row>
    <row r="980" spans="1:12" ht="15" customHeight="1">
      <c r="A980" s="82">
        <v>174</v>
      </c>
      <c r="B980" s="171" t="s">
        <v>860</v>
      </c>
    </row>
    <row r="981" spans="1:12" ht="15" customHeight="1">
      <c r="C981" s="140" t="s">
        <v>1108</v>
      </c>
      <c r="J981" s="139"/>
      <c r="L981" s="141"/>
    </row>
    <row r="982" spans="1:12" ht="15" customHeight="1">
      <c r="C982" s="140" t="s">
        <v>861</v>
      </c>
    </row>
    <row r="983" spans="1:12" ht="15" customHeight="1">
      <c r="D983" s="171" t="s">
        <v>2238</v>
      </c>
    </row>
    <row r="984" spans="1:12" ht="15" customHeight="1">
      <c r="D984" s="140" t="s">
        <v>862</v>
      </c>
      <c r="J984" s="141"/>
    </row>
    <row r="985" spans="1:12" ht="15" customHeight="1">
      <c r="D985" s="171" t="s">
        <v>2239</v>
      </c>
    </row>
    <row r="986" spans="1:12" ht="15" customHeight="1">
      <c r="C986" s="140" t="s">
        <v>2068</v>
      </c>
    </row>
    <row r="987" spans="1:12" ht="15" customHeight="1">
      <c r="C987" s="140" t="s">
        <v>2553</v>
      </c>
    </row>
    <row r="988" spans="1:12" ht="15" customHeight="1">
      <c r="C988" s="140" t="s">
        <v>2720</v>
      </c>
    </row>
    <row r="989" spans="1:12" ht="15" customHeight="1">
      <c r="A989" s="82">
        <v>175</v>
      </c>
      <c r="B989" s="140" t="s">
        <v>710</v>
      </c>
      <c r="E989" s="140" t="s">
        <v>711</v>
      </c>
    </row>
    <row r="990" spans="1:12" ht="15" customHeight="1">
      <c r="C990" s="140" t="s">
        <v>864</v>
      </c>
    </row>
    <row r="991" spans="1:12" ht="15" customHeight="1">
      <c r="A991" s="82">
        <v>176</v>
      </c>
      <c r="B991" s="140" t="s">
        <v>723</v>
      </c>
    </row>
    <row r="992" spans="1:12" ht="15" customHeight="1">
      <c r="A992" s="82">
        <v>177</v>
      </c>
      <c r="B992" s="171" t="s">
        <v>2316</v>
      </c>
      <c r="E992" s="140" t="s">
        <v>434</v>
      </c>
    </row>
    <row r="993" spans="1:10" ht="15" customHeight="1">
      <c r="A993" s="82">
        <v>178</v>
      </c>
      <c r="B993" s="140" t="s">
        <v>739</v>
      </c>
      <c r="E993" s="140" t="s">
        <v>742</v>
      </c>
    </row>
    <row r="994" spans="1:10" ht="15" customHeight="1">
      <c r="A994" s="82">
        <v>179</v>
      </c>
      <c r="B994" s="171" t="s">
        <v>745</v>
      </c>
    </row>
    <row r="995" spans="1:10" ht="15" customHeight="1">
      <c r="A995" s="82">
        <v>180</v>
      </c>
      <c r="B995" s="140" t="s">
        <v>740</v>
      </c>
      <c r="E995" s="140" t="s">
        <v>742</v>
      </c>
    </row>
    <row r="996" spans="1:10" ht="15" customHeight="1">
      <c r="A996" s="82">
        <v>181</v>
      </c>
      <c r="B996" s="171" t="s">
        <v>896</v>
      </c>
      <c r="E996" s="140" t="s">
        <v>897</v>
      </c>
    </row>
    <row r="997" spans="1:10" ht="15" customHeight="1">
      <c r="C997" s="140" t="s">
        <v>899</v>
      </c>
      <c r="J997" s="139"/>
    </row>
    <row r="998" spans="1:10" ht="15" customHeight="1">
      <c r="D998" s="140" t="s">
        <v>898</v>
      </c>
      <c r="J998" s="139"/>
    </row>
    <row r="999" spans="1:10" ht="15" customHeight="1">
      <c r="C999" s="140" t="s">
        <v>2073</v>
      </c>
    </row>
    <row r="1000" spans="1:10" ht="15" customHeight="1">
      <c r="A1000" s="82">
        <v>182</v>
      </c>
      <c r="B1000" s="140" t="s">
        <v>741</v>
      </c>
      <c r="E1000" s="140" t="s">
        <v>742</v>
      </c>
    </row>
    <row r="1001" spans="1:10" ht="15" customHeight="1">
      <c r="A1001" s="82">
        <v>183</v>
      </c>
      <c r="B1001" s="171" t="s">
        <v>976</v>
      </c>
    </row>
    <row r="1002" spans="1:10" ht="15" customHeight="1">
      <c r="C1002" s="140" t="s">
        <v>977</v>
      </c>
    </row>
    <row r="1003" spans="1:10" ht="15" customHeight="1">
      <c r="D1003" s="140" t="s">
        <v>978</v>
      </c>
    </row>
    <row r="1004" spans="1:10" ht="15" customHeight="1">
      <c r="C1004" s="140" t="s">
        <v>2044</v>
      </c>
    </row>
    <row r="1005" spans="1:10" ht="15" customHeight="1">
      <c r="D1005" s="140" t="s">
        <v>2045</v>
      </c>
    </row>
    <row r="1006" spans="1:10" ht="15" customHeight="1">
      <c r="C1006" s="140" t="s">
        <v>2451</v>
      </c>
    </row>
    <row r="1007" spans="1:10" ht="15" customHeight="1">
      <c r="D1007" s="140" t="s">
        <v>2503</v>
      </c>
      <c r="I1007" s="139"/>
    </row>
    <row r="1008" spans="1:10" ht="15" customHeight="1">
      <c r="C1008" s="140" t="s">
        <v>2592</v>
      </c>
    </row>
    <row r="1009" spans="1:12" ht="15" customHeight="1">
      <c r="D1009" s="140" t="s">
        <v>2593</v>
      </c>
    </row>
    <row r="1010" spans="1:12" ht="15" customHeight="1">
      <c r="A1010" s="82">
        <v>184</v>
      </c>
      <c r="B1010" s="171" t="s">
        <v>998</v>
      </c>
      <c r="E1010" s="140" t="s">
        <v>2348</v>
      </c>
    </row>
    <row r="1011" spans="1:12" ht="15" customHeight="1">
      <c r="A1011" s="82">
        <v>185</v>
      </c>
      <c r="B1011" s="145" t="s">
        <v>752</v>
      </c>
    </row>
    <row r="1012" spans="1:12" ht="15" customHeight="1">
      <c r="C1012" s="140" t="s">
        <v>753</v>
      </c>
    </row>
    <row r="1013" spans="1:12" ht="15" customHeight="1">
      <c r="C1013" s="140" t="s">
        <v>754</v>
      </c>
    </row>
    <row r="1014" spans="1:12" ht="15" customHeight="1">
      <c r="C1014" s="140" t="s">
        <v>755</v>
      </c>
    </row>
    <row r="1015" spans="1:12" ht="15" customHeight="1">
      <c r="C1015" s="140" t="s">
        <v>757</v>
      </c>
    </row>
    <row r="1016" spans="1:12" ht="15" customHeight="1">
      <c r="C1016" s="140" t="s">
        <v>758</v>
      </c>
    </row>
    <row r="1017" spans="1:12" ht="15" customHeight="1">
      <c r="C1017" s="140" t="s">
        <v>756</v>
      </c>
    </row>
    <row r="1018" spans="1:12" ht="15" customHeight="1">
      <c r="C1018" s="140" t="s">
        <v>751</v>
      </c>
    </row>
    <row r="1019" spans="1:12" ht="15" customHeight="1">
      <c r="A1019" s="82">
        <v>186</v>
      </c>
      <c r="B1019" s="171" t="s">
        <v>345</v>
      </c>
      <c r="I1019" s="141"/>
      <c r="K1019" s="139"/>
      <c r="L1019" s="148"/>
    </row>
    <row r="1020" spans="1:12" ht="14" customHeight="1">
      <c r="C1020" s="140" t="s">
        <v>355</v>
      </c>
      <c r="L1020" s="145"/>
    </row>
    <row r="1021" spans="1:12" ht="15" customHeight="1">
      <c r="C1021" s="140" t="s">
        <v>356</v>
      </c>
      <c r="L1021" s="145"/>
    </row>
    <row r="1022" spans="1:12" ht="15" customHeight="1">
      <c r="C1022" s="140" t="s">
        <v>372</v>
      </c>
      <c r="L1022" s="145"/>
    </row>
    <row r="1023" spans="1:12" ht="15" customHeight="1">
      <c r="C1023" s="140" t="s">
        <v>373</v>
      </c>
      <c r="L1023" s="145"/>
    </row>
    <row r="1024" spans="1:12" ht="15" customHeight="1">
      <c r="C1024" s="140" t="s">
        <v>354</v>
      </c>
      <c r="L1024" s="145"/>
    </row>
    <row r="1025" spans="1:12" ht="15" customHeight="1">
      <c r="C1025" s="140" t="s">
        <v>384</v>
      </c>
      <c r="L1025" s="145"/>
    </row>
    <row r="1026" spans="1:12" ht="15" customHeight="1">
      <c r="A1026" s="82">
        <v>187</v>
      </c>
      <c r="B1026" s="140" t="s">
        <v>747</v>
      </c>
      <c r="E1026" s="140" t="s">
        <v>2359</v>
      </c>
    </row>
    <row r="1027" spans="1:12" ht="15" customHeight="1">
      <c r="A1027" s="82">
        <v>188</v>
      </c>
      <c r="B1027" s="140" t="s">
        <v>748</v>
      </c>
      <c r="E1027" s="140" t="s">
        <v>749</v>
      </c>
    </row>
    <row r="1028" spans="1:12" ht="15" customHeight="1">
      <c r="A1028" s="82">
        <v>189</v>
      </c>
      <c r="B1028" s="171" t="s">
        <v>2281</v>
      </c>
      <c r="E1028" s="140" t="s">
        <v>2657</v>
      </c>
    </row>
    <row r="1029" spans="1:12" ht="15" customHeight="1">
      <c r="A1029" s="82">
        <v>190</v>
      </c>
      <c r="B1029" s="140" t="s">
        <v>771</v>
      </c>
    </row>
    <row r="1030" spans="1:12" ht="15" customHeight="1">
      <c r="C1030" s="140" t="s">
        <v>772</v>
      </c>
    </row>
    <row r="1031" spans="1:12" ht="15" customHeight="1">
      <c r="D1031" s="140" t="s">
        <v>985</v>
      </c>
    </row>
    <row r="1032" spans="1:12" ht="15" customHeight="1">
      <c r="C1032" s="140" t="s">
        <v>2749</v>
      </c>
    </row>
    <row r="1033" spans="1:12" ht="15" customHeight="1">
      <c r="C1033" s="140" t="s">
        <v>2750</v>
      </c>
    </row>
    <row r="1034" spans="1:12" ht="15" customHeight="1">
      <c r="A1034" s="82">
        <v>191</v>
      </c>
      <c r="B1034" s="140" t="s">
        <v>162</v>
      </c>
    </row>
    <row r="1035" spans="1:12" ht="15" customHeight="1">
      <c r="C1035" s="140" t="s">
        <v>795</v>
      </c>
    </row>
    <row r="1036" spans="1:12" ht="15" customHeight="1">
      <c r="D1036" s="154" t="s">
        <v>938</v>
      </c>
    </row>
    <row r="1037" spans="1:12" ht="15" customHeight="1">
      <c r="C1037" s="140" t="s">
        <v>869</v>
      </c>
    </row>
    <row r="1038" spans="1:12" ht="15" customHeight="1">
      <c r="C1038" s="140" t="s">
        <v>1044</v>
      </c>
    </row>
    <row r="1039" spans="1:12" ht="15" customHeight="1">
      <c r="D1039" s="140" t="s">
        <v>2103</v>
      </c>
    </row>
    <row r="1040" spans="1:12" ht="15" customHeight="1">
      <c r="A1040" s="82">
        <v>192</v>
      </c>
      <c r="B1040" s="171" t="s">
        <v>1049</v>
      </c>
      <c r="E1040" s="140" t="s">
        <v>1058</v>
      </c>
    </row>
    <row r="1041" spans="1:5" ht="15" customHeight="1">
      <c r="A1041" s="82">
        <v>193</v>
      </c>
      <c r="B1041" s="140" t="s">
        <v>874</v>
      </c>
    </row>
    <row r="1042" spans="1:5" ht="15" customHeight="1">
      <c r="C1042" s="140" t="s">
        <v>875</v>
      </c>
    </row>
    <row r="1043" spans="1:5" ht="15" customHeight="1">
      <c r="D1043" s="140" t="s">
        <v>876</v>
      </c>
    </row>
    <row r="1044" spans="1:5" ht="15" customHeight="1">
      <c r="D1044" s="140" t="s">
        <v>877</v>
      </c>
    </row>
    <row r="1045" spans="1:5" ht="15" customHeight="1">
      <c r="D1045" s="149" t="s">
        <v>878</v>
      </c>
    </row>
    <row r="1046" spans="1:5" ht="15" customHeight="1">
      <c r="A1046" s="82">
        <v>194</v>
      </c>
      <c r="B1046" s="140" t="s">
        <v>986</v>
      </c>
    </row>
    <row r="1047" spans="1:5" ht="15" customHeight="1">
      <c r="C1047" s="140" t="s">
        <v>987</v>
      </c>
    </row>
    <row r="1048" spans="1:5" ht="15" customHeight="1">
      <c r="A1048" s="82">
        <v>195</v>
      </c>
      <c r="B1048" s="171" t="s">
        <v>2231</v>
      </c>
      <c r="E1048" s="140" t="s">
        <v>2358</v>
      </c>
    </row>
    <row r="1049" spans="1:5" ht="15" customHeight="1">
      <c r="C1049" s="140" t="s">
        <v>2273</v>
      </c>
    </row>
    <row r="1050" spans="1:5" ht="15" customHeight="1">
      <c r="C1050" s="140" t="s">
        <v>2141</v>
      </c>
    </row>
    <row r="1051" spans="1:5" ht="15" customHeight="1">
      <c r="B1051" s="171"/>
      <c r="C1051" s="140" t="s">
        <v>2529</v>
      </c>
    </row>
    <row r="1052" spans="1:5" ht="15" customHeight="1">
      <c r="A1052" s="82">
        <v>196</v>
      </c>
      <c r="B1052" s="140" t="s">
        <v>993</v>
      </c>
    </row>
    <row r="1053" spans="1:5" ht="15" customHeight="1">
      <c r="C1053" s="140" t="s">
        <v>994</v>
      </c>
    </row>
    <row r="1054" spans="1:5" ht="15" customHeight="1">
      <c r="D1054" s="140" t="s">
        <v>995</v>
      </c>
    </row>
    <row r="1055" spans="1:5" ht="15" customHeight="1">
      <c r="A1055" s="82">
        <v>197</v>
      </c>
      <c r="B1055" s="140" t="s">
        <v>2176</v>
      </c>
    </row>
    <row r="1056" spans="1:5" ht="15" customHeight="1">
      <c r="A1056" s="82">
        <v>198</v>
      </c>
      <c r="B1056" s="140" t="s">
        <v>999</v>
      </c>
      <c r="E1056" s="140" t="s">
        <v>1000</v>
      </c>
    </row>
    <row r="1057" spans="1:5" ht="15" customHeight="1">
      <c r="A1057" s="82">
        <v>199</v>
      </c>
      <c r="B1057" s="145" t="s">
        <v>1051</v>
      </c>
      <c r="E1057" s="140" t="s">
        <v>1053</v>
      </c>
    </row>
    <row r="1058" spans="1:5" ht="15" customHeight="1">
      <c r="A1058" s="82">
        <v>200</v>
      </c>
      <c r="B1058" s="140" t="s">
        <v>1008</v>
      </c>
      <c r="E1058" s="140" t="s">
        <v>1009</v>
      </c>
    </row>
    <row r="1059" spans="1:5" ht="15" customHeight="1">
      <c r="A1059" s="82">
        <v>201</v>
      </c>
      <c r="B1059" s="171" t="s">
        <v>2183</v>
      </c>
    </row>
    <row r="1060" spans="1:5" ht="15" customHeight="1">
      <c r="A1060" s="82">
        <v>202</v>
      </c>
      <c r="B1060" s="140" t="s">
        <v>1010</v>
      </c>
      <c r="E1060" s="140" t="s">
        <v>1011</v>
      </c>
    </row>
    <row r="1061" spans="1:5" ht="15" customHeight="1">
      <c r="A1061" s="82">
        <v>203</v>
      </c>
      <c r="B1061" s="140" t="s">
        <v>1032</v>
      </c>
      <c r="E1061" s="140" t="s">
        <v>1033</v>
      </c>
    </row>
    <row r="1062" spans="1:5" ht="15" customHeight="1">
      <c r="C1062" s="140" t="s">
        <v>1034</v>
      </c>
    </row>
    <row r="1063" spans="1:5" ht="15" customHeight="1">
      <c r="A1063" s="82">
        <v>204</v>
      </c>
      <c r="B1063" s="140" t="s">
        <v>1050</v>
      </c>
      <c r="E1063" s="140" t="s">
        <v>1052</v>
      </c>
    </row>
    <row r="1064" spans="1:5" ht="15" customHeight="1">
      <c r="A1064" s="82">
        <v>205</v>
      </c>
      <c r="B1064" s="171" t="s">
        <v>2145</v>
      </c>
    </row>
    <row r="1065" spans="1:5" ht="15" customHeight="1">
      <c r="A1065" s="82">
        <v>206</v>
      </c>
      <c r="B1065" s="140" t="s">
        <v>1059</v>
      </c>
    </row>
    <row r="1066" spans="1:5" ht="15" customHeight="1">
      <c r="A1066" s="82">
        <v>207</v>
      </c>
      <c r="B1066" s="140" t="s">
        <v>1119</v>
      </c>
    </row>
    <row r="1067" spans="1:5" ht="15" customHeight="1">
      <c r="C1067" s="140" t="s">
        <v>1120</v>
      </c>
    </row>
    <row r="1068" spans="1:5" ht="15" customHeight="1">
      <c r="A1068" s="82">
        <v>208</v>
      </c>
      <c r="B1068" s="145" t="s">
        <v>1029</v>
      </c>
      <c r="E1068" s="140" t="s">
        <v>2069</v>
      </c>
    </row>
    <row r="1069" spans="1:5" ht="15" customHeight="1">
      <c r="A1069" s="82">
        <v>209</v>
      </c>
      <c r="B1069" s="149" t="s">
        <v>1121</v>
      </c>
    </row>
    <row r="1070" spans="1:5" ht="15" customHeight="1">
      <c r="C1070" s="140" t="s">
        <v>1122</v>
      </c>
    </row>
    <row r="1071" spans="1:5" ht="15" customHeight="1">
      <c r="A1071" s="82">
        <v>210</v>
      </c>
      <c r="B1071" s="140" t="s">
        <v>1126</v>
      </c>
    </row>
    <row r="1072" spans="1:5" ht="15" customHeight="1">
      <c r="C1072" s="140" t="s">
        <v>1127</v>
      </c>
    </row>
    <row r="1073" spans="1:5" ht="15" customHeight="1">
      <c r="C1073" s="140" t="s">
        <v>1025</v>
      </c>
    </row>
    <row r="1074" spans="1:5" ht="15" customHeight="1">
      <c r="A1074" s="82">
        <v>211</v>
      </c>
      <c r="B1074" s="171" t="s">
        <v>2144</v>
      </c>
    </row>
    <row r="1075" spans="1:5" ht="15" customHeight="1">
      <c r="A1075" s="82">
        <v>212</v>
      </c>
      <c r="B1075" s="140" t="s">
        <v>1132</v>
      </c>
    </row>
    <row r="1076" spans="1:5" ht="15" customHeight="1">
      <c r="A1076" s="82">
        <v>213</v>
      </c>
      <c r="B1076" s="140" t="s">
        <v>1133</v>
      </c>
      <c r="E1076" s="140" t="s">
        <v>2413</v>
      </c>
    </row>
    <row r="1077" spans="1:5" ht="15" customHeight="1">
      <c r="A1077" s="82">
        <v>214</v>
      </c>
      <c r="B1077" s="140" t="s">
        <v>1167</v>
      </c>
    </row>
    <row r="1078" spans="1:5" ht="15" customHeight="1">
      <c r="C1078" s="140" t="s">
        <v>1168</v>
      </c>
    </row>
    <row r="1079" spans="1:5" ht="15" customHeight="1">
      <c r="A1079" s="82">
        <v>215</v>
      </c>
      <c r="B1079" s="171" t="s">
        <v>2093</v>
      </c>
    </row>
    <row r="1080" spans="1:5" ht="15" customHeight="1">
      <c r="A1080" s="82">
        <v>216</v>
      </c>
      <c r="B1080" s="140" t="s">
        <v>2061</v>
      </c>
    </row>
    <row r="1081" spans="1:5" ht="15" customHeight="1">
      <c r="A1081" s="82">
        <v>217</v>
      </c>
      <c r="B1081" s="140" t="s">
        <v>2062</v>
      </c>
    </row>
    <row r="1082" spans="1:5" ht="15" customHeight="1">
      <c r="A1082" s="82">
        <v>218</v>
      </c>
      <c r="B1082" s="140" t="s">
        <v>1170</v>
      </c>
    </row>
    <row r="1083" spans="1:5" ht="15" customHeight="1">
      <c r="A1083" s="82">
        <v>219</v>
      </c>
      <c r="B1083" s="171" t="s">
        <v>2116</v>
      </c>
    </row>
    <row r="1084" spans="1:5" ht="15" customHeight="1">
      <c r="A1084" s="82">
        <v>220</v>
      </c>
      <c r="B1084" s="140" t="s">
        <v>1176</v>
      </c>
    </row>
    <row r="1085" spans="1:5" ht="15" customHeight="1">
      <c r="C1085" s="153" t="s">
        <v>2619</v>
      </c>
    </row>
    <row r="1086" spans="1:5" ht="15" customHeight="1">
      <c r="A1086" s="82">
        <v>221</v>
      </c>
      <c r="B1086" s="140" t="s">
        <v>2083</v>
      </c>
      <c r="E1086" s="140" t="s">
        <v>472</v>
      </c>
    </row>
    <row r="1087" spans="1:5" ht="15" customHeight="1">
      <c r="A1087" s="82">
        <v>222</v>
      </c>
      <c r="B1087" s="140" t="s">
        <v>2072</v>
      </c>
    </row>
    <row r="1088" spans="1:5" ht="15" customHeight="1">
      <c r="C1088" s="140" t="s">
        <v>2562</v>
      </c>
    </row>
    <row r="1089" spans="1:10" ht="15" customHeight="1">
      <c r="A1089" s="82">
        <v>223</v>
      </c>
      <c r="B1089" s="140" t="s">
        <v>2086</v>
      </c>
    </row>
    <row r="1090" spans="1:10" ht="15" customHeight="1">
      <c r="A1090" s="82">
        <v>224</v>
      </c>
      <c r="B1090" s="150" t="s">
        <v>2365</v>
      </c>
      <c r="E1090" s="140" t="s">
        <v>2064</v>
      </c>
    </row>
    <row r="1091" spans="1:10" ht="15" customHeight="1">
      <c r="A1091" s="82">
        <v>225</v>
      </c>
      <c r="B1091" s="140" t="s">
        <v>2110</v>
      </c>
      <c r="E1091" s="140" t="s">
        <v>2111</v>
      </c>
    </row>
    <row r="1092" spans="1:10" ht="15" customHeight="1">
      <c r="A1092" s="82">
        <v>226</v>
      </c>
      <c r="B1092" s="171" t="s">
        <v>2382</v>
      </c>
    </row>
    <row r="1093" spans="1:10" ht="15" customHeight="1">
      <c r="A1093" s="82">
        <v>227</v>
      </c>
      <c r="B1093" s="140" t="s">
        <v>2112</v>
      </c>
      <c r="E1093" s="140" t="s">
        <v>2111</v>
      </c>
    </row>
    <row r="1094" spans="1:10" ht="15" customHeight="1">
      <c r="A1094" s="82">
        <v>228</v>
      </c>
      <c r="B1094" s="140" t="s">
        <v>2113</v>
      </c>
      <c r="E1094" s="140" t="s">
        <v>2111</v>
      </c>
    </row>
    <row r="1095" spans="1:10" ht="15" customHeight="1">
      <c r="A1095" s="82">
        <v>229</v>
      </c>
      <c r="B1095" s="140" t="s">
        <v>2115</v>
      </c>
      <c r="E1095" s="140" t="s">
        <v>2111</v>
      </c>
    </row>
    <row r="1096" spans="1:10" ht="15" customHeight="1">
      <c r="A1096" s="82">
        <v>230</v>
      </c>
      <c r="B1096" s="140" t="s">
        <v>2258</v>
      </c>
      <c r="J1096" s="139"/>
    </row>
    <row r="1097" spans="1:10" ht="15" customHeight="1">
      <c r="A1097" s="82">
        <v>231</v>
      </c>
      <c r="B1097" s="150" t="s">
        <v>2366</v>
      </c>
    </row>
    <row r="1098" spans="1:10" ht="15" customHeight="1">
      <c r="B1098" s="150"/>
      <c r="C1098" s="140" t="s">
        <v>2705</v>
      </c>
    </row>
    <row r="1099" spans="1:10" ht="15" customHeight="1">
      <c r="D1099" s="140" t="s">
        <v>2367</v>
      </c>
    </row>
    <row r="1100" spans="1:10" ht="15" customHeight="1">
      <c r="A1100" s="82">
        <v>232</v>
      </c>
      <c r="B1100" s="171" t="s">
        <v>1000</v>
      </c>
    </row>
    <row r="1101" spans="1:10" ht="15" customHeight="1">
      <c r="C1101" s="140" t="s">
        <v>2392</v>
      </c>
    </row>
    <row r="1102" spans="1:10" ht="15" customHeight="1">
      <c r="A1102" s="82">
        <v>233</v>
      </c>
      <c r="B1102" s="140" t="s">
        <v>2063</v>
      </c>
    </row>
    <row r="1103" spans="1:10" ht="15" customHeight="1">
      <c r="A1103" s="82">
        <v>234</v>
      </c>
      <c r="B1103" s="140" t="s">
        <v>2120</v>
      </c>
    </row>
    <row r="1104" spans="1:10" ht="15" customHeight="1">
      <c r="A1104" s="82">
        <v>235</v>
      </c>
      <c r="B1104" s="140" t="s">
        <v>962</v>
      </c>
    </row>
    <row r="1105" spans="1:5" ht="15" customHeight="1">
      <c r="A1105" s="82">
        <v>236</v>
      </c>
      <c r="B1105" s="140" t="s">
        <v>2130</v>
      </c>
    </row>
    <row r="1106" spans="1:5" ht="15" customHeight="1">
      <c r="C1106" s="140" t="s">
        <v>2131</v>
      </c>
    </row>
    <row r="1107" spans="1:5" ht="15" customHeight="1">
      <c r="C1107" s="140" t="s">
        <v>2132</v>
      </c>
    </row>
    <row r="1108" spans="1:5" ht="15" customHeight="1">
      <c r="A1108" s="82">
        <v>237</v>
      </c>
      <c r="B1108" s="171" t="s">
        <v>2395</v>
      </c>
      <c r="E1108" s="140" t="s">
        <v>1108</v>
      </c>
    </row>
    <row r="1109" spans="1:5" ht="15" customHeight="1">
      <c r="A1109" s="82">
        <v>238</v>
      </c>
      <c r="B1109" s="140" t="s">
        <v>2133</v>
      </c>
      <c r="E1109" s="140" t="s">
        <v>657</v>
      </c>
    </row>
    <row r="1110" spans="1:5" ht="15" customHeight="1">
      <c r="A1110" s="82">
        <v>239</v>
      </c>
      <c r="B1110" s="140" t="s">
        <v>2149</v>
      </c>
      <c r="E1110" s="140" t="s">
        <v>2150</v>
      </c>
    </row>
    <row r="1111" spans="1:5" ht="15" customHeight="1">
      <c r="A1111" s="82">
        <v>240</v>
      </c>
      <c r="B1111" s="140" t="s">
        <v>2143</v>
      </c>
    </row>
    <row r="1112" spans="1:5" ht="15" customHeight="1">
      <c r="A1112" s="82">
        <v>241</v>
      </c>
      <c r="B1112" s="140" t="s">
        <v>2280</v>
      </c>
    </row>
    <row r="1113" spans="1:5" ht="15" customHeight="1">
      <c r="A1113" s="82">
        <v>242</v>
      </c>
      <c r="B1113" s="140" t="s">
        <v>2168</v>
      </c>
      <c r="E1113" s="140" t="s">
        <v>2302</v>
      </c>
    </row>
    <row r="1114" spans="1:5" ht="15" customHeight="1">
      <c r="A1114" s="82">
        <v>243</v>
      </c>
      <c r="B1114" s="171" t="s">
        <v>2398</v>
      </c>
      <c r="E1114" s="140" t="s">
        <v>2348</v>
      </c>
    </row>
    <row r="1115" spans="1:5" ht="15" customHeight="1">
      <c r="A1115" s="82">
        <v>244</v>
      </c>
      <c r="B1115" s="140" t="s">
        <v>2333</v>
      </c>
    </row>
    <row r="1116" spans="1:5" ht="15" customHeight="1">
      <c r="A1116" s="82">
        <v>245</v>
      </c>
      <c r="B1116" s="140" t="s">
        <v>2370</v>
      </c>
    </row>
    <row r="1117" spans="1:5" ht="15" customHeight="1">
      <c r="C1117" s="140" t="s">
        <v>2371</v>
      </c>
    </row>
    <row r="1118" spans="1:5" ht="15" customHeight="1">
      <c r="D1118" s="140" t="s">
        <v>2372</v>
      </c>
    </row>
    <row r="1119" spans="1:5" ht="15" customHeight="1">
      <c r="D1119" s="140" t="s">
        <v>2373</v>
      </c>
    </row>
    <row r="1120" spans="1:5" ht="15" customHeight="1">
      <c r="D1120" s="140" t="s">
        <v>2626</v>
      </c>
    </row>
    <row r="1121" spans="1:12" ht="15" customHeight="1">
      <c r="A1121" s="82">
        <v>246</v>
      </c>
      <c r="B1121" s="140" t="s">
        <v>2283</v>
      </c>
      <c r="C1121" s="140">
        <v>3</v>
      </c>
      <c r="E1121" s="140" t="s">
        <v>2111</v>
      </c>
      <c r="L1121" s="139"/>
    </row>
    <row r="1122" spans="1:12" ht="15" customHeight="1">
      <c r="A1122" s="82">
        <v>247</v>
      </c>
      <c r="B1122" s="140" t="s">
        <v>2286</v>
      </c>
    </row>
    <row r="1123" spans="1:12" ht="15" customHeight="1">
      <c r="A1123" s="82">
        <v>248</v>
      </c>
      <c r="B1123" s="140" t="s">
        <v>2287</v>
      </c>
    </row>
    <row r="1124" spans="1:12" ht="15" customHeight="1">
      <c r="A1124" s="82">
        <v>249</v>
      </c>
      <c r="B1124" s="140" t="s">
        <v>2297</v>
      </c>
    </row>
    <row r="1125" spans="1:12" ht="15" customHeight="1">
      <c r="A1125" s="82">
        <v>250</v>
      </c>
      <c r="B1125" s="171" t="s">
        <v>2436</v>
      </c>
      <c r="E1125" s="140" t="s">
        <v>2437</v>
      </c>
    </row>
    <row r="1126" spans="1:12" ht="15" customHeight="1">
      <c r="A1126" s="82">
        <v>251</v>
      </c>
      <c r="B1126" s="140" t="s">
        <v>2274</v>
      </c>
      <c r="E1126" s="140" t="s">
        <v>305</v>
      </c>
    </row>
    <row r="1127" spans="1:12" ht="15" customHeight="1">
      <c r="C1127" s="140" t="s">
        <v>2276</v>
      </c>
    </row>
    <row r="1128" spans="1:12" ht="15" customHeight="1">
      <c r="D1128" s="140" t="s">
        <v>2275</v>
      </c>
    </row>
    <row r="1129" spans="1:12" ht="15" customHeight="1">
      <c r="A1129" s="82">
        <v>252</v>
      </c>
      <c r="B1129" s="140" t="s">
        <v>2332</v>
      </c>
    </row>
    <row r="1130" spans="1:12" ht="15" customHeight="1">
      <c r="A1130" s="82">
        <v>253</v>
      </c>
      <c r="B1130" s="140" t="s">
        <v>2317</v>
      </c>
      <c r="E1130" s="140" t="s">
        <v>2318</v>
      </c>
    </row>
    <row r="1131" spans="1:12" ht="15" customHeight="1">
      <c r="A1131" s="82">
        <v>254</v>
      </c>
      <c r="B1131" s="140" t="s">
        <v>2352</v>
      </c>
    </row>
    <row r="1132" spans="1:12" ht="15" customHeight="1">
      <c r="A1132" s="82">
        <v>255</v>
      </c>
      <c r="B1132" s="171" t="s">
        <v>2441</v>
      </c>
      <c r="E1132" s="140" t="s">
        <v>2437</v>
      </c>
    </row>
    <row r="1133" spans="1:12" ht="15" customHeight="1">
      <c r="A1133" s="82">
        <v>256</v>
      </c>
      <c r="B1133" s="145" t="s">
        <v>2416</v>
      </c>
    </row>
    <row r="1134" spans="1:12" ht="15" customHeight="1">
      <c r="A1134" s="82">
        <v>257</v>
      </c>
      <c r="B1134" s="140" t="s">
        <v>2319</v>
      </c>
      <c r="E1134" s="140" t="s">
        <v>325</v>
      </c>
      <c r="J1134" s="141"/>
    </row>
    <row r="1135" spans="1:12" ht="15" customHeight="1">
      <c r="A1135" s="82">
        <v>258</v>
      </c>
      <c r="B1135" s="145" t="s">
        <v>2397</v>
      </c>
      <c r="E1135" s="140" t="s">
        <v>2348</v>
      </c>
    </row>
    <row r="1136" spans="1:12" ht="15" customHeight="1">
      <c r="A1136" s="82">
        <v>259</v>
      </c>
      <c r="B1136" s="145" t="s">
        <v>2425</v>
      </c>
      <c r="E1136" s="140" t="s">
        <v>2348</v>
      </c>
    </row>
    <row r="1137" spans="1:5" ht="15" customHeight="1">
      <c r="A1137" s="82">
        <v>260</v>
      </c>
      <c r="B1137" s="140" t="s">
        <v>2405</v>
      </c>
    </row>
    <row r="1138" spans="1:5" ht="15" customHeight="1">
      <c r="A1138" s="82">
        <v>261</v>
      </c>
      <c r="B1138" s="206" t="s">
        <v>2505</v>
      </c>
    </row>
    <row r="1139" spans="1:5" ht="15" customHeight="1">
      <c r="B1139" s="206"/>
      <c r="C1139" s="140" t="s">
        <v>2507</v>
      </c>
      <c r="E1139" s="140" t="s">
        <v>2506</v>
      </c>
    </row>
    <row r="1140" spans="1:5" ht="15" customHeight="1">
      <c r="A1140" s="82">
        <v>262</v>
      </c>
      <c r="B1140" s="140" t="s">
        <v>2434</v>
      </c>
      <c r="E1140" s="140" t="s">
        <v>2435</v>
      </c>
    </row>
    <row r="1141" spans="1:5" ht="16" customHeight="1">
      <c r="A1141" s="82">
        <v>263</v>
      </c>
      <c r="B1141" s="140" t="s">
        <v>2418</v>
      </c>
      <c r="E1141" s="140" t="s">
        <v>2419</v>
      </c>
    </row>
    <row r="1142" spans="1:5" ht="15" customHeight="1">
      <c r="A1142" s="82">
        <v>264</v>
      </c>
      <c r="B1142" s="140" t="s">
        <v>2387</v>
      </c>
      <c r="E1142" s="140" t="s">
        <v>2111</v>
      </c>
    </row>
    <row r="1143" spans="1:5" ht="15" customHeight="1">
      <c r="A1143" s="82">
        <v>265</v>
      </c>
      <c r="B1143" s="171" t="s">
        <v>2531</v>
      </c>
      <c r="E1143" s="140" t="s">
        <v>2751</v>
      </c>
    </row>
    <row r="1144" spans="1:5" ht="15" customHeight="1">
      <c r="A1144" s="82">
        <v>266</v>
      </c>
      <c r="B1144" s="140" t="s">
        <v>2426</v>
      </c>
    </row>
    <row r="1145" spans="1:5" ht="15" customHeight="1">
      <c r="A1145" s="82">
        <v>267</v>
      </c>
      <c r="B1145" s="140" t="s">
        <v>2438</v>
      </c>
      <c r="E1145" s="140" t="s">
        <v>2439</v>
      </c>
    </row>
    <row r="1146" spans="1:5" ht="15" customHeight="1">
      <c r="A1146" s="82">
        <v>268</v>
      </c>
      <c r="B1146" s="140" t="s">
        <v>2443</v>
      </c>
    </row>
    <row r="1147" spans="1:5" ht="15" customHeight="1">
      <c r="A1147" s="82">
        <v>269</v>
      </c>
      <c r="B1147" s="140" t="s">
        <v>2464</v>
      </c>
      <c r="E1147" s="140" t="s">
        <v>2465</v>
      </c>
    </row>
    <row r="1148" spans="1:5" ht="15" customHeight="1">
      <c r="A1148" s="82">
        <v>270</v>
      </c>
      <c r="B1148" s="171" t="s">
        <v>2538</v>
      </c>
    </row>
    <row r="1149" spans="1:5" ht="15" customHeight="1">
      <c r="C1149" s="140" t="s">
        <v>2539</v>
      </c>
    </row>
    <row r="1150" spans="1:5" ht="15" customHeight="1">
      <c r="C1150" s="140" t="s">
        <v>2540</v>
      </c>
    </row>
    <row r="1151" spans="1:5" ht="15" customHeight="1">
      <c r="C1151" s="140" t="s">
        <v>2550</v>
      </c>
    </row>
    <row r="1152" spans="1:5" ht="15" customHeight="1">
      <c r="D1152" s="140" t="s">
        <v>2552</v>
      </c>
    </row>
    <row r="1153" spans="1:5" ht="15" customHeight="1">
      <c r="C1153" s="140" t="s">
        <v>2566</v>
      </c>
    </row>
    <row r="1154" spans="1:5" ht="15" customHeight="1">
      <c r="C1154" s="140" t="s">
        <v>2567</v>
      </c>
    </row>
    <row r="1155" spans="1:5" ht="15" customHeight="1">
      <c r="C1155" s="140" t="s">
        <v>2570</v>
      </c>
    </row>
    <row r="1156" spans="1:5" ht="15" customHeight="1">
      <c r="D1156" s="140" t="s">
        <v>2571</v>
      </c>
    </row>
    <row r="1157" spans="1:5" ht="15" customHeight="1">
      <c r="A1157" s="82">
        <v>271</v>
      </c>
      <c r="B1157" s="140" t="s">
        <v>2467</v>
      </c>
      <c r="E1157" s="140" t="s">
        <v>2468</v>
      </c>
    </row>
    <row r="1158" spans="1:5" ht="15" customHeight="1">
      <c r="A1158" s="82">
        <v>272</v>
      </c>
      <c r="B1158" s="140" t="s">
        <v>2471</v>
      </c>
      <c r="E1158" s="140" t="s">
        <v>2472</v>
      </c>
    </row>
    <row r="1159" spans="1:5" ht="15" customHeight="1">
      <c r="A1159" s="82">
        <v>273</v>
      </c>
      <c r="B1159" s="140" t="s">
        <v>2475</v>
      </c>
      <c r="E1159" s="140" t="s">
        <v>2476</v>
      </c>
    </row>
    <row r="1160" spans="1:5" ht="15" customHeight="1">
      <c r="A1160" s="82">
        <v>274</v>
      </c>
      <c r="B1160" s="140" t="s">
        <v>2477</v>
      </c>
      <c r="E1160" s="140" t="s">
        <v>2465</v>
      </c>
    </row>
    <row r="1161" spans="1:5" ht="15" customHeight="1">
      <c r="A1161" s="82">
        <v>275</v>
      </c>
      <c r="B1161" s="171" t="s">
        <v>2543</v>
      </c>
    </row>
    <row r="1162" spans="1:5" ht="15" customHeight="1">
      <c r="C1162" s="140" t="s">
        <v>2544</v>
      </c>
    </row>
    <row r="1163" spans="1:5" ht="15" customHeight="1">
      <c r="A1163" s="82">
        <v>276</v>
      </c>
      <c r="B1163" s="140" t="s">
        <v>2478</v>
      </c>
      <c r="E1163" s="140" t="s">
        <v>2465</v>
      </c>
    </row>
    <row r="1164" spans="1:5" ht="15" customHeight="1">
      <c r="A1164" s="82">
        <v>277</v>
      </c>
      <c r="B1164" s="140" t="s">
        <v>2514</v>
      </c>
      <c r="E1164" s="140" t="s">
        <v>2516</v>
      </c>
    </row>
    <row r="1165" spans="1:5" ht="15" customHeight="1">
      <c r="A1165" s="82">
        <v>278</v>
      </c>
      <c r="B1165" s="140" t="s">
        <v>2479</v>
      </c>
      <c r="E1165" s="140" t="s">
        <v>2455</v>
      </c>
    </row>
    <row r="1166" spans="1:5" ht="15" customHeight="1">
      <c r="A1166" s="82">
        <v>279</v>
      </c>
      <c r="B1166" s="140" t="s">
        <v>2515</v>
      </c>
      <c r="E1166" s="140" t="s">
        <v>2516</v>
      </c>
    </row>
    <row r="1167" spans="1:5" ht="15" customHeight="1">
      <c r="A1167" s="82">
        <v>280</v>
      </c>
      <c r="B1167" s="171" t="s">
        <v>2653</v>
      </c>
      <c r="E1167" s="140" t="s">
        <v>2654</v>
      </c>
    </row>
    <row r="1168" spans="1:5" ht="15" customHeight="1">
      <c r="C1168" s="140" t="s">
        <v>2655</v>
      </c>
    </row>
    <row r="1169" spans="1:5" ht="15" customHeight="1">
      <c r="A1169" s="82">
        <v>281</v>
      </c>
      <c r="B1169" s="140" t="s">
        <v>2487</v>
      </c>
    </row>
    <row r="1170" spans="1:5" ht="15" customHeight="1">
      <c r="A1170" s="82">
        <v>282</v>
      </c>
      <c r="B1170" s="140" t="s">
        <v>2490</v>
      </c>
    </row>
    <row r="1171" spans="1:5" ht="15" customHeight="1">
      <c r="A1171" s="82">
        <v>283</v>
      </c>
      <c r="B1171" s="140" t="s">
        <v>2563</v>
      </c>
    </row>
    <row r="1172" spans="1:5" ht="15" customHeight="1">
      <c r="C1172" s="140" t="s">
        <v>2564</v>
      </c>
    </row>
    <row r="1173" spans="1:5" ht="15" customHeight="1">
      <c r="A1173" s="82">
        <v>284</v>
      </c>
      <c r="B1173" s="140" t="s">
        <v>2589</v>
      </c>
    </row>
    <row r="1174" spans="1:5" ht="15" customHeight="1">
      <c r="C1174" s="140" t="s">
        <v>423</v>
      </c>
    </row>
    <row r="1175" spans="1:5" ht="15" customHeight="1">
      <c r="D1175" s="140" t="s">
        <v>2590</v>
      </c>
    </row>
    <row r="1176" spans="1:5" ht="15" customHeight="1">
      <c r="D1176" s="140" t="s">
        <v>2616</v>
      </c>
    </row>
    <row r="1177" spans="1:5" ht="15" customHeight="1">
      <c r="A1177" s="82">
        <v>285</v>
      </c>
      <c r="B1177" s="171" t="s">
        <v>2717</v>
      </c>
    </row>
    <row r="1178" spans="1:5" ht="15" customHeight="1">
      <c r="A1178" s="82">
        <v>286</v>
      </c>
      <c r="B1178" s="140" t="s">
        <v>2617</v>
      </c>
      <c r="E1178" s="140" t="s">
        <v>2618</v>
      </c>
    </row>
    <row r="1179" spans="1:5" ht="15" customHeight="1">
      <c r="A1179" s="82">
        <v>287</v>
      </c>
      <c r="B1179" s="140" t="s">
        <v>2620</v>
      </c>
      <c r="E1179" s="140" t="s">
        <v>2621</v>
      </c>
    </row>
    <row r="1180" spans="1:5" ht="15" customHeight="1">
      <c r="C1180" s="140" t="s">
        <v>2058</v>
      </c>
    </row>
    <row r="1181" spans="1:5" ht="15" customHeight="1">
      <c r="C1181" s="140" t="s">
        <v>2622</v>
      </c>
    </row>
    <row r="1182" spans="1:5" ht="15" customHeight="1">
      <c r="A1182" s="82">
        <v>288</v>
      </c>
      <c r="B1182" s="140" t="s">
        <v>2623</v>
      </c>
      <c r="E1182" s="140" t="s">
        <v>2624</v>
      </c>
    </row>
    <row r="1183" spans="1:5" ht="15" customHeight="1">
      <c r="A1183" s="82">
        <v>289</v>
      </c>
      <c r="B1183" s="140" t="s">
        <v>2625</v>
      </c>
    </row>
    <row r="1184" spans="1:5" ht="15" customHeight="1">
      <c r="A1184" s="82">
        <v>290</v>
      </c>
      <c r="B1184" s="140" t="s">
        <v>2627</v>
      </c>
    </row>
    <row r="1185" spans="1:12" ht="15" customHeight="1">
      <c r="A1185" s="82">
        <v>291</v>
      </c>
      <c r="B1185" s="171" t="s">
        <v>2714</v>
      </c>
    </row>
    <row r="1186" spans="1:12" ht="15" customHeight="1">
      <c r="C1186" s="140" t="s">
        <v>2715</v>
      </c>
    </row>
    <row r="1187" spans="1:12" ht="15" customHeight="1">
      <c r="D1187" s="140" t="s">
        <v>2716</v>
      </c>
    </row>
    <row r="1188" spans="1:12" ht="15" customHeight="1">
      <c r="A1188" s="82">
        <v>292</v>
      </c>
      <c r="B1188" s="140" t="s">
        <v>2631</v>
      </c>
    </row>
    <row r="1189" spans="1:12" ht="15" customHeight="1">
      <c r="A1189" s="82">
        <v>293</v>
      </c>
      <c r="B1189" s="140" t="s">
        <v>2632</v>
      </c>
      <c r="E1189" s="140" t="s">
        <v>2633</v>
      </c>
    </row>
    <row r="1190" spans="1:12" ht="15" customHeight="1">
      <c r="A1190" s="82">
        <v>294</v>
      </c>
      <c r="B1190" s="173" t="s">
        <v>649</v>
      </c>
    </row>
    <row r="1191" spans="1:12" ht="15" customHeight="1">
      <c r="A1191" s="82">
        <v>295</v>
      </c>
      <c r="B1191" s="140" t="s">
        <v>2634</v>
      </c>
      <c r="E1191" s="140" t="s">
        <v>2635</v>
      </c>
    </row>
    <row r="1192" spans="1:12" ht="15" customHeight="1">
      <c r="A1192" s="82">
        <v>296</v>
      </c>
      <c r="B1192" s="140" t="s">
        <v>2637</v>
      </c>
    </row>
    <row r="1193" spans="1:12" ht="15" customHeight="1">
      <c r="C1193" s="140" t="s">
        <v>2638</v>
      </c>
    </row>
    <row r="1194" spans="1:12" ht="15" customHeight="1">
      <c r="A1194" s="82">
        <v>297</v>
      </c>
      <c r="B1194" s="140" t="s">
        <v>2656</v>
      </c>
      <c r="E1194" s="140" t="s">
        <v>2657</v>
      </c>
    </row>
    <row r="1195" spans="1:12" ht="15" customHeight="1">
      <c r="A1195" s="82">
        <v>298</v>
      </c>
      <c r="B1195" s="171" t="s">
        <v>201</v>
      </c>
      <c r="C1195" s="145"/>
      <c r="D1195" s="145"/>
      <c r="E1195" s="145"/>
      <c r="F1195" s="145"/>
      <c r="G1195" s="145"/>
      <c r="H1195" s="145"/>
      <c r="I1195" s="145"/>
      <c r="J1195" s="145"/>
      <c r="K1195" s="145"/>
      <c r="L1195" s="145"/>
    </row>
    <row r="1196" spans="1:12" ht="15" customHeight="1">
      <c r="B1196" s="145"/>
      <c r="C1196" s="145" t="s">
        <v>224</v>
      </c>
      <c r="D1196" s="145"/>
      <c r="E1196" s="145"/>
      <c r="F1196" s="145"/>
      <c r="G1196" s="145"/>
      <c r="H1196" s="145"/>
      <c r="I1196" s="145"/>
      <c r="J1196" s="145"/>
      <c r="K1196" s="145"/>
      <c r="L1196" s="145"/>
    </row>
    <row r="1197" spans="1:12" ht="15" customHeight="1">
      <c r="B1197" s="145"/>
      <c r="C1197" s="145"/>
      <c r="D1197" s="145" t="s">
        <v>225</v>
      </c>
      <c r="E1197" s="145"/>
      <c r="F1197" s="145"/>
      <c r="G1197" s="145"/>
      <c r="H1197" s="145"/>
      <c r="I1197" s="145"/>
      <c r="J1197" s="145"/>
      <c r="K1197" s="145"/>
      <c r="L1197" s="145"/>
    </row>
    <row r="1198" spans="1:12" ht="15" customHeight="1">
      <c r="B1198" s="145"/>
      <c r="C1198" s="173" t="s">
        <v>2121</v>
      </c>
      <c r="D1198" s="145"/>
      <c r="E1198" s="145"/>
      <c r="F1198" s="145"/>
      <c r="G1198" s="145"/>
      <c r="H1198" s="145"/>
      <c r="I1198" s="145"/>
      <c r="J1198" s="145"/>
      <c r="K1198" s="145"/>
      <c r="L1198" s="145"/>
    </row>
    <row r="1199" spans="1:12" ht="15" customHeight="1">
      <c r="A1199" s="82">
        <v>299</v>
      </c>
      <c r="B1199" s="171" t="s">
        <v>2788</v>
      </c>
    </row>
    <row r="1200" spans="1:12" ht="15" customHeight="1">
      <c r="A1200" s="82">
        <v>300</v>
      </c>
      <c r="B1200" s="140" t="s">
        <v>2658</v>
      </c>
      <c r="E1200" s="140" t="s">
        <v>2659</v>
      </c>
    </row>
    <row r="1201" spans="1:5" ht="15" customHeight="1">
      <c r="A1201" s="82">
        <v>301</v>
      </c>
      <c r="B1201" s="140" t="s">
        <v>2230</v>
      </c>
    </row>
    <row r="1202" spans="1:5" ht="15" customHeight="1">
      <c r="A1202" s="82">
        <v>302</v>
      </c>
      <c r="B1202" s="140" t="s">
        <v>2752</v>
      </c>
      <c r="E1202" s="140" t="s">
        <v>2753</v>
      </c>
    </row>
    <row r="1203" spans="1:5" ht="15" customHeight="1">
      <c r="A1203" s="82">
        <v>303</v>
      </c>
      <c r="B1203" s="140" t="s">
        <v>2781</v>
      </c>
    </row>
    <row r="1204" spans="1:5" ht="15" customHeight="1">
      <c r="A1204" s="82">
        <v>304</v>
      </c>
      <c r="B1204" s="140" t="s">
        <v>2782</v>
      </c>
      <c r="E1204" s="140" t="s">
        <v>1172</v>
      </c>
    </row>
    <row r="1205" spans="1:5" ht="15" customHeight="1">
      <c r="A1205" s="82">
        <v>305</v>
      </c>
      <c r="B1205" s="140" t="s">
        <v>2784</v>
      </c>
    </row>
    <row r="1206" spans="1:5" ht="15" customHeight="1">
      <c r="C1206" s="140" t="s">
        <v>469</v>
      </c>
    </row>
    <row r="1207" spans="1:5" ht="15" customHeight="1">
      <c r="A1207" s="82">
        <v>306</v>
      </c>
      <c r="B1207" s="140" t="s">
        <v>2797</v>
      </c>
      <c r="E1207" s="140" t="s">
        <v>2798</v>
      </c>
    </row>
    <row r="1211" spans="1:5" ht="15" customHeight="1">
      <c r="B1211" s="173" t="s">
        <v>2369</v>
      </c>
    </row>
    <row r="1212" spans="1:5" ht="15" customHeight="1">
      <c r="B1212" s="173" t="s">
        <v>2065</v>
      </c>
      <c r="E1212" s="140" t="s">
        <v>2353</v>
      </c>
    </row>
    <row r="1213" spans="1:5" ht="15" customHeight="1">
      <c r="B1213" s="173" t="s">
        <v>535</v>
      </c>
      <c r="E1213" s="140" t="s">
        <v>2360</v>
      </c>
    </row>
    <row r="1214" spans="1:5" ht="15" customHeight="1">
      <c r="B1214" s="173" t="s">
        <v>560</v>
      </c>
      <c r="E1214" s="140" t="s">
        <v>2349</v>
      </c>
    </row>
    <row r="1215" spans="1:5" ht="15" customHeight="1">
      <c r="B1215" s="173" t="s">
        <v>577</v>
      </c>
      <c r="E1215" s="140" t="s">
        <v>2355</v>
      </c>
    </row>
  </sheetData>
  <mergeCells count="9">
    <mergeCell ref="O1:O2"/>
    <mergeCell ref="P1:P2"/>
    <mergeCell ref="N1:N2"/>
    <mergeCell ref="A1:A2"/>
    <mergeCell ref="B1:E1"/>
    <mergeCell ref="L1:L2"/>
    <mergeCell ref="F1:F2"/>
    <mergeCell ref="K1:K2"/>
    <mergeCell ref="G1:J1"/>
  </mergeCells>
  <phoneticPr fontId="12" type="noConversion"/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R75"/>
  <sheetViews>
    <sheetView topLeftCell="A16" zoomScale="120" zoomScaleNormal="120" workbookViewId="0">
      <selection activeCell="C49" sqref="C49"/>
    </sheetView>
  </sheetViews>
  <sheetFormatPr baseColWidth="10" defaultColWidth="9" defaultRowHeight="14"/>
  <cols>
    <col min="1" max="1" width="17.33203125" style="14" bestFit="1" customWidth="1"/>
    <col min="2" max="2" width="25.6640625" style="49" bestFit="1" customWidth="1"/>
    <col min="3" max="3" width="5.6640625" style="50" customWidth="1"/>
    <col min="4" max="4" width="25.1640625" style="14" bestFit="1" customWidth="1"/>
    <col min="5" max="5" width="23.5" style="49" bestFit="1" customWidth="1"/>
    <col min="6" max="6" width="5.6640625" style="50" customWidth="1"/>
    <col min="7" max="7" width="7.83203125" style="14" bestFit="1" customWidth="1"/>
    <col min="8" max="8" width="49.5" style="14" bestFit="1" customWidth="1"/>
    <col min="9" max="9" width="29.33203125" style="49" bestFit="1" customWidth="1"/>
    <col min="10" max="16384" width="9" style="50"/>
  </cols>
  <sheetData>
    <row r="1" spans="1:9">
      <c r="A1" s="14" t="s">
        <v>2410</v>
      </c>
      <c r="B1" s="49" t="s">
        <v>2411</v>
      </c>
      <c r="D1" s="14" t="s">
        <v>2408</v>
      </c>
      <c r="E1" s="49" t="s">
        <v>2409</v>
      </c>
      <c r="G1" s="14" t="s">
        <v>2304</v>
      </c>
      <c r="H1" s="14" t="s">
        <v>2305</v>
      </c>
      <c r="I1" s="49" t="s">
        <v>2306</v>
      </c>
    </row>
    <row r="2" spans="1:9">
      <c r="A2" s="14" t="s">
        <v>2457</v>
      </c>
      <c r="B2" s="49" t="s">
        <v>2458</v>
      </c>
      <c r="D2" s="14" t="s">
        <v>2594</v>
      </c>
      <c r="E2" s="49" t="s">
        <v>2595</v>
      </c>
    </row>
    <row r="3" spans="1:9">
      <c r="A3" s="14" t="s">
        <v>2459</v>
      </c>
      <c r="B3" s="49" t="s">
        <v>2460</v>
      </c>
    </row>
    <row r="4" spans="1:9">
      <c r="A4" s="14" t="s">
        <v>2461</v>
      </c>
      <c r="B4" s="49" t="s">
        <v>2462</v>
      </c>
    </row>
    <row r="9" spans="1:9" ht="14.25" customHeight="1">
      <c r="A9" s="322" t="s">
        <v>122</v>
      </c>
      <c r="B9" s="322"/>
      <c r="C9" s="322"/>
      <c r="D9" s="322"/>
      <c r="E9" s="322"/>
      <c r="F9" s="322"/>
      <c r="G9" s="322"/>
      <c r="H9" s="322"/>
      <c r="I9" s="322"/>
    </row>
    <row r="10" spans="1:9" ht="14.25" customHeight="1">
      <c r="A10" s="51" t="s">
        <v>126</v>
      </c>
      <c r="B10" s="51"/>
      <c r="C10" s="51"/>
      <c r="D10" s="51"/>
      <c r="E10" s="51"/>
      <c r="F10" s="51"/>
      <c r="G10" s="51"/>
      <c r="H10" s="51"/>
      <c r="I10" s="51"/>
    </row>
    <row r="11" spans="1:9">
      <c r="A11" s="14" t="s">
        <v>101</v>
      </c>
      <c r="B11" s="49" t="s">
        <v>102</v>
      </c>
    </row>
    <row r="15" spans="1:9" ht="13">
      <c r="A15" s="51" t="s">
        <v>112</v>
      </c>
      <c r="B15" s="51"/>
      <c r="C15" s="51"/>
      <c r="D15" s="51"/>
      <c r="E15" s="51"/>
      <c r="F15" s="51"/>
      <c r="G15" s="51"/>
      <c r="H15" s="51"/>
      <c r="I15" s="51"/>
    </row>
    <row r="16" spans="1:9">
      <c r="A16" s="14" t="s">
        <v>357</v>
      </c>
      <c r="B16" s="49" t="s">
        <v>358</v>
      </c>
      <c r="D16" s="14" t="s">
        <v>477</v>
      </c>
      <c r="E16" s="49" t="s">
        <v>478</v>
      </c>
    </row>
    <row r="20" spans="1:18">
      <c r="A20" s="51" t="s">
        <v>363</v>
      </c>
      <c r="B20" s="51"/>
      <c r="C20" s="51"/>
      <c r="D20" s="51"/>
      <c r="E20" s="51"/>
      <c r="F20" s="51"/>
      <c r="G20" s="51"/>
      <c r="H20" s="51"/>
      <c r="I20" s="192"/>
      <c r="J20" s="14"/>
      <c r="K20" s="49"/>
      <c r="M20" s="14"/>
      <c r="N20" s="49"/>
      <c r="P20" s="14"/>
      <c r="Q20" s="14"/>
      <c r="R20" s="49"/>
    </row>
    <row r="21" spans="1:18">
      <c r="G21" s="14" t="s">
        <v>365</v>
      </c>
      <c r="H21" s="14" t="s">
        <v>364</v>
      </c>
      <c r="I21" s="49" t="s">
        <v>366</v>
      </c>
    </row>
    <row r="25" spans="1:18" ht="13">
      <c r="A25" s="51" t="s">
        <v>150</v>
      </c>
      <c r="B25" s="51"/>
      <c r="C25" s="51"/>
      <c r="D25" s="51"/>
      <c r="E25" s="51"/>
      <c r="F25" s="51"/>
      <c r="G25" s="51"/>
      <c r="H25" s="51"/>
      <c r="I25" s="192"/>
    </row>
    <row r="26" spans="1:18">
      <c r="A26" s="14" t="s">
        <v>151</v>
      </c>
      <c r="B26" s="49" t="s">
        <v>152</v>
      </c>
      <c r="D26" s="14" t="s">
        <v>2147</v>
      </c>
      <c r="E26" s="49" t="s">
        <v>2148</v>
      </c>
      <c r="G26" s="14" t="s">
        <v>183</v>
      </c>
      <c r="H26" s="14" t="s">
        <v>184</v>
      </c>
      <c r="I26" s="49" t="s">
        <v>185</v>
      </c>
    </row>
    <row r="30" spans="1:18" ht="14.25" customHeight="1">
      <c r="A30" s="51" t="s">
        <v>92</v>
      </c>
      <c r="B30" s="51"/>
      <c r="C30" s="51"/>
      <c r="D30" s="51"/>
      <c r="E30" s="51"/>
      <c r="F30" s="51"/>
      <c r="G30" s="51"/>
      <c r="H30" s="51"/>
      <c r="I30" s="192"/>
    </row>
    <row r="31" spans="1:18" ht="14.25" customHeight="1">
      <c r="A31" s="14" t="s">
        <v>95</v>
      </c>
      <c r="B31" s="49" t="s">
        <v>96</v>
      </c>
      <c r="C31" s="16"/>
      <c r="D31" s="14" t="s">
        <v>484</v>
      </c>
      <c r="E31" s="49" t="s">
        <v>485</v>
      </c>
      <c r="F31" s="16"/>
      <c r="G31" s="14" t="s">
        <v>701</v>
      </c>
      <c r="H31" s="14" t="s">
        <v>702</v>
      </c>
      <c r="I31" s="49" t="s">
        <v>703</v>
      </c>
    </row>
    <row r="32" spans="1:18" ht="14.25" customHeight="1">
      <c r="C32" s="16"/>
      <c r="F32" s="16"/>
    </row>
    <row r="33" spans="1:9" ht="14.25" customHeight="1">
      <c r="C33" s="16"/>
      <c r="F33" s="16"/>
    </row>
    <row r="34" spans="1:9" ht="14.25" customHeight="1">
      <c r="C34" s="16"/>
      <c r="F34" s="16"/>
    </row>
    <row r="35" spans="1:9" ht="14.25" customHeight="1">
      <c r="A35" s="51" t="s">
        <v>828</v>
      </c>
      <c r="B35" s="51"/>
      <c r="C35" s="51"/>
      <c r="D35" s="51"/>
      <c r="E35" s="51"/>
      <c r="F35" s="51"/>
      <c r="G35" s="51"/>
      <c r="H35" s="51"/>
      <c r="I35" s="192"/>
    </row>
    <row r="36" spans="1:9" ht="14.25" customHeight="1">
      <c r="C36" s="16"/>
      <c r="F36" s="16"/>
      <c r="G36" s="14" t="s">
        <v>829</v>
      </c>
      <c r="H36" s="14" t="s">
        <v>830</v>
      </c>
      <c r="I36" s="49" t="s">
        <v>831</v>
      </c>
    </row>
    <row r="37" spans="1:9" ht="14.25" customHeight="1">
      <c r="C37" s="16"/>
      <c r="F37" s="16"/>
    </row>
    <row r="38" spans="1:9" ht="14.25" customHeight="1">
      <c r="C38" s="16"/>
      <c r="F38" s="16"/>
    </row>
    <row r="39" spans="1:9" ht="13.75" customHeight="1">
      <c r="A39" s="16"/>
      <c r="B39" s="16"/>
      <c r="C39" s="16"/>
      <c r="D39" s="16"/>
      <c r="E39" s="16"/>
      <c r="F39" s="16"/>
      <c r="G39" s="16"/>
      <c r="H39" s="16"/>
      <c r="I39" s="16"/>
    </row>
    <row r="40" spans="1:9" ht="13">
      <c r="A40" s="51" t="s">
        <v>2151</v>
      </c>
      <c r="B40" s="51"/>
      <c r="C40" s="51"/>
      <c r="D40" s="51"/>
      <c r="E40" s="51"/>
      <c r="F40" s="51"/>
      <c r="G40" s="51"/>
      <c r="H40" s="51"/>
      <c r="I40" s="192"/>
    </row>
    <row r="41" spans="1:9">
      <c r="A41" s="14" t="s">
        <v>2263</v>
      </c>
      <c r="B41" s="49" t="s">
        <v>2264</v>
      </c>
      <c r="G41" s="14" t="s">
        <v>2265</v>
      </c>
      <c r="H41" s="14" t="s">
        <v>2266</v>
      </c>
      <c r="I41" s="49" t="s">
        <v>2267</v>
      </c>
    </row>
    <row r="45" spans="1:9" ht="14.25" customHeight="1">
      <c r="A45" s="51" t="s">
        <v>87</v>
      </c>
      <c r="B45" s="51"/>
      <c r="C45" s="51"/>
      <c r="D45" s="51"/>
      <c r="E45" s="51"/>
      <c r="F45" s="51"/>
      <c r="G45" s="51"/>
      <c r="H45" s="51"/>
      <c r="I45" s="51"/>
    </row>
    <row r="46" spans="1:9">
      <c r="A46" s="14" t="s">
        <v>93</v>
      </c>
      <c r="B46" s="49" t="s">
        <v>94</v>
      </c>
      <c r="D46" s="14" t="s">
        <v>140</v>
      </c>
      <c r="E46" s="49" t="s">
        <v>141</v>
      </c>
      <c r="G46" s="14" t="s">
        <v>243</v>
      </c>
      <c r="H46" s="14" t="s">
        <v>244</v>
      </c>
      <c r="I46" s="49" t="s">
        <v>245</v>
      </c>
    </row>
    <row r="50" spans="1:9" ht="13">
      <c r="A50" s="51" t="s">
        <v>88</v>
      </c>
      <c r="B50" s="51"/>
      <c r="C50" s="51"/>
      <c r="D50" s="51"/>
      <c r="E50" s="51"/>
      <c r="F50" s="51"/>
      <c r="G50" s="51"/>
      <c r="H50" s="51"/>
      <c r="I50" s="51"/>
    </row>
    <row r="51" spans="1:9">
      <c r="A51" s="14" t="s">
        <v>97</v>
      </c>
      <c r="B51" s="49" t="s">
        <v>98</v>
      </c>
      <c r="D51" s="14" t="s">
        <v>99</v>
      </c>
      <c r="E51" s="49" t="s">
        <v>100</v>
      </c>
    </row>
    <row r="54" spans="1:9" ht="13">
      <c r="A54" s="51" t="s">
        <v>2095</v>
      </c>
      <c r="B54" s="51"/>
      <c r="C54" s="51"/>
      <c r="D54" s="51"/>
      <c r="E54" s="51"/>
      <c r="F54" s="51"/>
      <c r="G54" s="51"/>
      <c r="H54" s="51"/>
      <c r="I54" s="51"/>
    </row>
    <row r="55" spans="1:9">
      <c r="A55" s="14" t="s">
        <v>1134</v>
      </c>
      <c r="B55" s="49" t="s">
        <v>1135</v>
      </c>
      <c r="G55" s="14" t="s">
        <v>601</v>
      </c>
      <c r="H55" s="14" t="s">
        <v>602</v>
      </c>
      <c r="I55" s="49" t="s">
        <v>603</v>
      </c>
    </row>
    <row r="59" spans="1:9" ht="13">
      <c r="A59" s="51" t="s">
        <v>104</v>
      </c>
      <c r="B59" s="51"/>
      <c r="C59" s="51"/>
      <c r="D59" s="51"/>
      <c r="E59" s="51"/>
      <c r="F59" s="51"/>
      <c r="G59" s="51"/>
      <c r="H59" s="51"/>
      <c r="I59" s="51"/>
    </row>
    <row r="60" spans="1:9">
      <c r="A60" s="14" t="s">
        <v>105</v>
      </c>
      <c r="B60" s="49" t="s">
        <v>106</v>
      </c>
      <c r="D60" s="14" t="s">
        <v>888</v>
      </c>
      <c r="E60" s="49" t="s">
        <v>889</v>
      </c>
    </row>
    <row r="64" spans="1:9" ht="13">
      <c r="A64" s="51" t="s">
        <v>89</v>
      </c>
      <c r="B64" s="51"/>
      <c r="C64" s="51"/>
      <c r="D64" s="51"/>
      <c r="E64" s="51"/>
      <c r="F64" s="51"/>
      <c r="G64" s="51"/>
      <c r="H64" s="51"/>
      <c r="I64" s="51"/>
    </row>
    <row r="65" spans="1:9">
      <c r="A65" s="14" t="s">
        <v>90</v>
      </c>
      <c r="B65" s="49" t="s">
        <v>91</v>
      </c>
      <c r="D65" s="14" t="s">
        <v>370</v>
      </c>
      <c r="E65" s="49" t="s">
        <v>371</v>
      </c>
    </row>
    <row r="69" spans="1:9" ht="14.25" customHeight="1">
      <c r="A69" s="51" t="s">
        <v>824</v>
      </c>
      <c r="B69" s="51"/>
      <c r="C69" s="51"/>
      <c r="D69" s="51"/>
      <c r="E69" s="51"/>
      <c r="F69" s="51"/>
      <c r="G69" s="51"/>
      <c r="H69" s="51"/>
      <c r="I69" s="51"/>
    </row>
    <row r="70" spans="1:9" ht="14.25" customHeight="1">
      <c r="C70" s="16"/>
      <c r="F70" s="16"/>
      <c r="G70" s="14" t="s">
        <v>825</v>
      </c>
      <c r="H70" s="14" t="s">
        <v>826</v>
      </c>
      <c r="I70" s="49" t="s">
        <v>827</v>
      </c>
    </row>
    <row r="71" spans="1:9" ht="14.25" customHeight="1">
      <c r="C71" s="16"/>
      <c r="F71" s="16"/>
    </row>
    <row r="72" spans="1:9" ht="14.25" customHeight="1">
      <c r="C72" s="16"/>
      <c r="F72" s="16"/>
    </row>
    <row r="74" spans="1:9" ht="13">
      <c r="A74" s="51" t="s">
        <v>401</v>
      </c>
      <c r="B74" s="51"/>
      <c r="C74" s="51"/>
      <c r="D74" s="51"/>
      <c r="E74" s="51"/>
      <c r="F74" s="51"/>
      <c r="G74" s="51"/>
      <c r="H74" s="51"/>
      <c r="I74" s="51"/>
    </row>
    <row r="75" spans="1:9">
      <c r="A75" s="14" t="s">
        <v>510</v>
      </c>
      <c r="B75" s="49" t="s">
        <v>511</v>
      </c>
      <c r="D75" s="14" t="s">
        <v>614</v>
      </c>
      <c r="E75" s="49" t="s">
        <v>615</v>
      </c>
      <c r="G75" s="14" t="s">
        <v>2153</v>
      </c>
      <c r="H75" s="14" t="s">
        <v>2154</v>
      </c>
      <c r="I75" s="49" t="s">
        <v>2155</v>
      </c>
    </row>
  </sheetData>
  <mergeCells count="1">
    <mergeCell ref="A9:I9"/>
  </mergeCells>
  <phoneticPr fontId="12" type="noConversion"/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M125"/>
  <sheetViews>
    <sheetView zoomScaleNormal="100" workbookViewId="0">
      <pane ySplit="1" topLeftCell="A44" activePane="bottomLeft" state="frozen"/>
      <selection activeCell="E28" sqref="E28"/>
      <selection pane="bottomLeft" activeCell="C53" sqref="C53"/>
    </sheetView>
  </sheetViews>
  <sheetFormatPr baseColWidth="10" defaultColWidth="9" defaultRowHeight="13"/>
  <cols>
    <col min="1" max="1" width="6.5" style="2" bestFit="1" customWidth="1"/>
    <col min="2" max="2" width="18" style="2" bestFit="1" customWidth="1"/>
    <col min="3" max="3" width="16" style="2" bestFit="1" customWidth="1"/>
    <col min="4" max="4" width="15.5" style="2" bestFit="1" customWidth="1"/>
    <col min="5" max="5" width="15.83203125" style="2" bestFit="1" customWidth="1"/>
    <col min="6" max="6" width="17" style="2" bestFit="1" customWidth="1"/>
    <col min="7" max="7" width="15.83203125" style="2" bestFit="1" customWidth="1"/>
    <col min="8" max="8" width="16.1640625" style="2" bestFit="1" customWidth="1"/>
    <col min="9" max="9" width="21.5" style="2" bestFit="1" customWidth="1"/>
    <col min="10" max="11" width="15.83203125" style="2" bestFit="1" customWidth="1"/>
    <col min="12" max="12" width="13.33203125" style="2" customWidth="1"/>
    <col min="13" max="13" width="18.33203125" style="2" customWidth="1"/>
    <col min="14" max="16384" width="9" style="2"/>
  </cols>
  <sheetData>
    <row r="1" spans="1:13">
      <c r="A1" s="3"/>
      <c r="B1" s="66" t="s">
        <v>13</v>
      </c>
      <c r="C1" s="66" t="s">
        <v>14</v>
      </c>
      <c r="D1" s="66" t="s">
        <v>15</v>
      </c>
      <c r="E1" s="66" t="s">
        <v>16</v>
      </c>
      <c r="F1" s="66" t="s">
        <v>17</v>
      </c>
      <c r="G1" s="66" t="s">
        <v>18</v>
      </c>
      <c r="H1" s="66" t="s">
        <v>19</v>
      </c>
      <c r="I1" s="66" t="s">
        <v>20</v>
      </c>
      <c r="J1" s="66" t="s">
        <v>21</v>
      </c>
      <c r="K1" s="66" t="s">
        <v>22</v>
      </c>
      <c r="L1" s="66" t="s">
        <v>23</v>
      </c>
      <c r="M1" s="66" t="s">
        <v>24</v>
      </c>
    </row>
    <row r="2" spans="1:13" ht="18" customHeight="1">
      <c r="A2" s="85">
        <v>2011</v>
      </c>
      <c r="B2" s="91"/>
      <c r="C2" s="89" t="s">
        <v>2664</v>
      </c>
      <c r="D2" s="89" t="s">
        <v>2662</v>
      </c>
      <c r="E2" s="89" t="s">
        <v>2663</v>
      </c>
      <c r="F2" s="92"/>
      <c r="G2" s="92"/>
      <c r="H2" s="92"/>
      <c r="I2" s="92"/>
      <c r="J2" s="92"/>
      <c r="K2" s="92"/>
      <c r="L2" s="89" t="s">
        <v>182</v>
      </c>
      <c r="M2" s="89" t="s">
        <v>1063</v>
      </c>
    </row>
    <row r="3" spans="1:13" ht="15">
      <c r="A3" s="85">
        <v>2012</v>
      </c>
      <c r="B3" s="86" t="s">
        <v>1072</v>
      </c>
      <c r="C3" s="86" t="s">
        <v>56</v>
      </c>
      <c r="D3" s="86" t="s">
        <v>57</v>
      </c>
      <c r="E3" s="89" t="s">
        <v>58</v>
      </c>
      <c r="F3" s="89" t="s">
        <v>147</v>
      </c>
      <c r="G3" s="89" t="s">
        <v>48</v>
      </c>
      <c r="H3" s="89" t="s">
        <v>2706</v>
      </c>
      <c r="I3" s="93" t="s">
        <v>59</v>
      </c>
      <c r="J3" s="93" t="s">
        <v>60</v>
      </c>
      <c r="K3" s="93" t="s">
        <v>61</v>
      </c>
      <c r="L3" s="89" t="s">
        <v>2054</v>
      </c>
      <c r="M3" s="86" t="s">
        <v>1094</v>
      </c>
    </row>
    <row r="4" spans="1:13" ht="30">
      <c r="A4" s="85">
        <v>2013</v>
      </c>
      <c r="B4" s="86" t="s">
        <v>174</v>
      </c>
      <c r="C4" s="86" t="s">
        <v>1071</v>
      </c>
      <c r="D4" s="86" t="s">
        <v>1070</v>
      </c>
      <c r="E4" s="86" t="s">
        <v>1109</v>
      </c>
      <c r="F4" s="89" t="s">
        <v>1156</v>
      </c>
      <c r="G4" s="94" t="s">
        <v>2778</v>
      </c>
      <c r="H4" s="89" t="s">
        <v>1157</v>
      </c>
      <c r="I4" s="89" t="s">
        <v>74</v>
      </c>
      <c r="J4" s="89" t="s">
        <v>1079</v>
      </c>
      <c r="K4" s="89" t="s">
        <v>791</v>
      </c>
      <c r="L4" s="89" t="s">
        <v>674</v>
      </c>
      <c r="M4" s="86" t="s">
        <v>1095</v>
      </c>
    </row>
    <row r="5" spans="1:13" ht="30">
      <c r="A5" s="85">
        <v>2014</v>
      </c>
      <c r="B5" s="89" t="s">
        <v>136</v>
      </c>
      <c r="C5" s="86" t="s">
        <v>1096</v>
      </c>
      <c r="D5" s="86" t="s">
        <v>1020</v>
      </c>
      <c r="E5" s="89" t="s">
        <v>1107</v>
      </c>
      <c r="F5" s="89" t="s">
        <v>1158</v>
      </c>
      <c r="G5" s="89" t="s">
        <v>690</v>
      </c>
      <c r="H5" s="89" t="s">
        <v>1159</v>
      </c>
      <c r="I5" s="89" t="s">
        <v>1112</v>
      </c>
      <c r="J5" s="93" t="s">
        <v>259</v>
      </c>
      <c r="K5" s="89" t="s">
        <v>1098</v>
      </c>
      <c r="L5" s="89" t="s">
        <v>2138</v>
      </c>
      <c r="M5" s="89" t="s">
        <v>2090</v>
      </c>
    </row>
    <row r="6" spans="1:13" ht="18" customHeight="1">
      <c r="A6" s="90">
        <v>2015</v>
      </c>
      <c r="B6" s="166" t="s">
        <v>1105</v>
      </c>
      <c r="C6" s="166" t="s">
        <v>1093</v>
      </c>
      <c r="D6" s="166" t="s">
        <v>1092</v>
      </c>
      <c r="E6" s="166" t="s">
        <v>1091</v>
      </c>
      <c r="F6" s="167" t="s">
        <v>65</v>
      </c>
      <c r="G6" s="166" t="s">
        <v>66</v>
      </c>
      <c r="H6" s="166" t="s">
        <v>67</v>
      </c>
      <c r="I6" s="166" t="s">
        <v>68</v>
      </c>
      <c r="J6" s="166" t="s">
        <v>69</v>
      </c>
      <c r="K6" s="166" t="s">
        <v>70</v>
      </c>
      <c r="L6" s="166" t="s">
        <v>71</v>
      </c>
      <c r="M6" s="166" t="s">
        <v>72</v>
      </c>
    </row>
    <row r="7" spans="1:13" ht="18" customHeight="1">
      <c r="A7" s="85">
        <v>2016</v>
      </c>
      <c r="B7" s="89" t="s">
        <v>1106</v>
      </c>
      <c r="C7" s="93" t="s">
        <v>1090</v>
      </c>
      <c r="D7" s="89" t="s">
        <v>1089</v>
      </c>
      <c r="E7" s="89" t="s">
        <v>1088</v>
      </c>
      <c r="F7" s="89" t="s">
        <v>792</v>
      </c>
      <c r="G7" s="89" t="s">
        <v>799</v>
      </c>
      <c r="H7" s="89" t="s">
        <v>179</v>
      </c>
      <c r="I7" s="89" t="s">
        <v>1103</v>
      </c>
      <c r="J7" s="89" t="s">
        <v>1104</v>
      </c>
      <c r="K7" s="89" t="s">
        <v>2096</v>
      </c>
      <c r="L7" s="89" t="s">
        <v>802</v>
      </c>
      <c r="M7" s="86" t="s">
        <v>2126</v>
      </c>
    </row>
    <row r="8" spans="1:13" ht="30">
      <c r="A8" s="85">
        <v>2017</v>
      </c>
      <c r="B8" s="89" t="s">
        <v>49</v>
      </c>
      <c r="C8" s="89" t="s">
        <v>40</v>
      </c>
      <c r="D8" s="89" t="s">
        <v>50</v>
      </c>
      <c r="E8" s="89" t="s">
        <v>41</v>
      </c>
      <c r="F8" s="89" t="s">
        <v>845</v>
      </c>
      <c r="G8" s="89" t="s">
        <v>815</v>
      </c>
      <c r="H8" s="89" t="s">
        <v>1100</v>
      </c>
      <c r="I8" s="89" t="s">
        <v>1081</v>
      </c>
      <c r="J8" s="93" t="s">
        <v>75</v>
      </c>
      <c r="K8" s="89" t="s">
        <v>1012</v>
      </c>
      <c r="L8" s="89" t="s">
        <v>2261</v>
      </c>
      <c r="M8" s="86" t="s">
        <v>1080</v>
      </c>
    </row>
    <row r="9" spans="1:13" ht="18" customHeight="1">
      <c r="A9" s="85">
        <v>2018</v>
      </c>
      <c r="B9" s="89" t="s">
        <v>51</v>
      </c>
      <c r="C9" s="89" t="s">
        <v>42</v>
      </c>
      <c r="D9" s="89" t="s">
        <v>36</v>
      </c>
      <c r="E9" s="89" t="s">
        <v>43</v>
      </c>
      <c r="F9" s="89" t="s">
        <v>2307</v>
      </c>
      <c r="G9" s="89" t="s">
        <v>1178</v>
      </c>
      <c r="H9" s="89" t="s">
        <v>1062</v>
      </c>
      <c r="I9" s="89" t="s">
        <v>2661</v>
      </c>
      <c r="J9" s="89" t="s">
        <v>73</v>
      </c>
      <c r="K9" s="89" t="s">
        <v>1078</v>
      </c>
      <c r="L9" s="89" t="s">
        <v>1022</v>
      </c>
      <c r="M9" s="94" t="s">
        <v>2726</v>
      </c>
    </row>
    <row r="10" spans="1:13" ht="18" customHeight="1">
      <c r="A10" s="46">
        <v>2019</v>
      </c>
      <c r="B10" s="89" t="s">
        <v>44</v>
      </c>
      <c r="C10" s="89" t="s">
        <v>1087</v>
      </c>
      <c r="D10" s="89" t="s">
        <v>1086</v>
      </c>
      <c r="E10" s="89" t="s">
        <v>1085</v>
      </c>
      <c r="F10" s="89" t="s">
        <v>2322</v>
      </c>
      <c r="G10" s="89" t="s">
        <v>2323</v>
      </c>
      <c r="H10" s="89" t="s">
        <v>1111</v>
      </c>
      <c r="I10" s="89" t="s">
        <v>62</v>
      </c>
      <c r="J10" s="89" t="s">
        <v>844</v>
      </c>
      <c r="K10" s="89" t="s">
        <v>2039</v>
      </c>
      <c r="L10" s="89" t="s">
        <v>2433</v>
      </c>
      <c r="M10" s="86" t="s">
        <v>2140</v>
      </c>
    </row>
    <row r="11" spans="1:13" ht="18" customHeight="1">
      <c r="A11" s="87">
        <v>2020</v>
      </c>
      <c r="B11" s="330" t="s">
        <v>260</v>
      </c>
      <c r="C11" s="331"/>
      <c r="D11" s="331"/>
      <c r="E11" s="331"/>
      <c r="F11" s="331"/>
      <c r="G11" s="331"/>
      <c r="H11" s="331"/>
      <c r="I11" s="331"/>
      <c r="J11" s="331"/>
      <c r="K11" s="331"/>
      <c r="L11" s="331"/>
      <c r="M11" s="332"/>
    </row>
    <row r="12" spans="1:13" ht="30">
      <c r="A12" s="46">
        <v>2021</v>
      </c>
      <c r="B12" s="89" t="s">
        <v>54</v>
      </c>
      <c r="C12" s="89" t="s">
        <v>55</v>
      </c>
      <c r="D12" s="89" t="s">
        <v>52</v>
      </c>
      <c r="E12" s="89" t="s">
        <v>53</v>
      </c>
      <c r="F12" s="89" t="s">
        <v>2329</v>
      </c>
      <c r="G12" s="89" t="s">
        <v>1160</v>
      </c>
      <c r="H12" s="89" t="s">
        <v>1113</v>
      </c>
      <c r="I12" s="86" t="s">
        <v>1016</v>
      </c>
      <c r="J12" s="89" t="s">
        <v>2327</v>
      </c>
      <c r="K12" s="89" t="s">
        <v>2446</v>
      </c>
      <c r="L12" s="94" t="s">
        <v>2777</v>
      </c>
      <c r="M12" s="86" t="s">
        <v>2156</v>
      </c>
    </row>
    <row r="13" spans="1:13" ht="18" customHeight="1">
      <c r="A13" s="46">
        <v>2022</v>
      </c>
      <c r="B13" s="89" t="s">
        <v>37</v>
      </c>
      <c r="C13" s="89" t="s">
        <v>38</v>
      </c>
      <c r="D13" s="89" t="s">
        <v>45</v>
      </c>
      <c r="E13" s="89" t="s">
        <v>46</v>
      </c>
      <c r="F13" s="89" t="s">
        <v>2406</v>
      </c>
      <c r="G13" s="159" t="s">
        <v>2708</v>
      </c>
      <c r="H13" s="89" t="s">
        <v>2523</v>
      </c>
      <c r="I13" s="86" t="s">
        <v>786</v>
      </c>
      <c r="J13" s="89" t="s">
        <v>1017</v>
      </c>
      <c r="K13" s="94"/>
      <c r="L13" s="94"/>
      <c r="M13" s="86" t="s">
        <v>2157</v>
      </c>
    </row>
    <row r="14" spans="1:13" ht="18" customHeight="1">
      <c r="A14" s="333">
        <v>2023</v>
      </c>
      <c r="B14" s="89" t="s">
        <v>39</v>
      </c>
      <c r="C14" s="89" t="s">
        <v>1082</v>
      </c>
      <c r="D14" s="89" t="s">
        <v>173</v>
      </c>
      <c r="E14" s="89" t="s">
        <v>1077</v>
      </c>
      <c r="F14" s="94" t="s">
        <v>2709</v>
      </c>
      <c r="G14" s="94" t="s">
        <v>2445</v>
      </c>
      <c r="H14" s="159" t="s">
        <v>2799</v>
      </c>
      <c r="I14" s="89" t="s">
        <v>1084</v>
      </c>
      <c r="J14" s="89" t="s">
        <v>847</v>
      </c>
      <c r="K14" s="84"/>
      <c r="L14" s="84"/>
      <c r="M14" s="86" t="s">
        <v>2165</v>
      </c>
    </row>
    <row r="15" spans="1:13" ht="30">
      <c r="A15" s="334"/>
      <c r="B15" s="89" t="s">
        <v>1019</v>
      </c>
      <c r="C15" s="89" t="s">
        <v>1023</v>
      </c>
      <c r="D15" s="89" t="s">
        <v>787</v>
      </c>
      <c r="E15" s="89" t="s">
        <v>788</v>
      </c>
      <c r="F15" s="94" t="s">
        <v>2710</v>
      </c>
      <c r="G15" s="84" t="s">
        <v>2225</v>
      </c>
      <c r="H15" s="89" t="s">
        <v>2565</v>
      </c>
      <c r="I15" s="89" t="s">
        <v>1083</v>
      </c>
      <c r="J15" s="89" t="s">
        <v>800</v>
      </c>
      <c r="K15" s="84"/>
      <c r="L15" s="84"/>
      <c r="M15" s="86" t="s">
        <v>2188</v>
      </c>
    </row>
    <row r="16" spans="1:13" ht="18" customHeight="1">
      <c r="A16" s="98"/>
      <c r="B16" s="166" t="s">
        <v>116</v>
      </c>
      <c r="C16" s="166" t="s">
        <v>1069</v>
      </c>
      <c r="D16" s="166" t="s">
        <v>1068</v>
      </c>
      <c r="E16" s="166" t="s">
        <v>84</v>
      </c>
      <c r="F16" s="94" t="s">
        <v>2711</v>
      </c>
      <c r="G16" s="94"/>
      <c r="H16" s="84" t="s">
        <v>2326</v>
      </c>
      <c r="I16" s="84"/>
      <c r="J16" s="84"/>
      <c r="K16" s="84"/>
      <c r="L16" s="84"/>
      <c r="M16" s="84"/>
    </row>
    <row r="17" spans="1:13" ht="30">
      <c r="A17" s="333">
        <v>2024</v>
      </c>
      <c r="B17" s="104" t="s">
        <v>194</v>
      </c>
      <c r="C17" s="104" t="s">
        <v>789</v>
      </c>
      <c r="D17" s="104" t="s">
        <v>790</v>
      </c>
      <c r="E17" s="104" t="s">
        <v>1097</v>
      </c>
      <c r="F17" s="88" t="s">
        <v>2528</v>
      </c>
      <c r="G17" s="88"/>
      <c r="H17" s="88" t="s">
        <v>2527</v>
      </c>
      <c r="I17" s="104" t="s">
        <v>2301</v>
      </c>
      <c r="J17" s="104" t="s">
        <v>884</v>
      </c>
      <c r="K17" s="88"/>
      <c r="L17" s="88"/>
      <c r="M17" s="104" t="s">
        <v>2240</v>
      </c>
    </row>
    <row r="18" spans="1:13" ht="18" customHeight="1">
      <c r="A18" s="334"/>
      <c r="B18" s="104" t="s">
        <v>1110</v>
      </c>
      <c r="C18" s="104" t="s">
        <v>2328</v>
      </c>
      <c r="D18" s="170" t="s">
        <v>2345</v>
      </c>
      <c r="E18" s="170" t="s">
        <v>1021</v>
      </c>
      <c r="F18" s="88"/>
      <c r="G18" s="88"/>
      <c r="H18" s="88"/>
      <c r="I18" s="104" t="s">
        <v>816</v>
      </c>
      <c r="J18" s="88"/>
      <c r="K18" s="88"/>
      <c r="L18" s="88"/>
      <c r="M18" s="104" t="s">
        <v>2292</v>
      </c>
    </row>
    <row r="19" spans="1:13" ht="18" customHeight="1">
      <c r="A19" s="337">
        <v>2025</v>
      </c>
      <c r="B19" s="166" t="s">
        <v>1076</v>
      </c>
      <c r="C19" s="166" t="s">
        <v>107</v>
      </c>
      <c r="D19" s="166" t="s">
        <v>108</v>
      </c>
      <c r="E19" s="166" t="s">
        <v>109</v>
      </c>
      <c r="F19" s="166" t="s">
        <v>64</v>
      </c>
      <c r="G19" s="166" t="s">
        <v>1018</v>
      </c>
      <c r="H19" s="166" t="s">
        <v>1099</v>
      </c>
      <c r="I19" s="166" t="s">
        <v>155</v>
      </c>
      <c r="J19" s="166" t="s">
        <v>1075</v>
      </c>
      <c r="K19" s="166" t="s">
        <v>1074</v>
      </c>
      <c r="L19" s="167" t="s">
        <v>156</v>
      </c>
      <c r="M19" s="166" t="s">
        <v>1073</v>
      </c>
    </row>
    <row r="20" spans="1:13" ht="18" customHeight="1">
      <c r="A20" s="338"/>
      <c r="B20" s="104" t="s">
        <v>2325</v>
      </c>
      <c r="C20" s="104" t="s">
        <v>2324</v>
      </c>
      <c r="D20" s="104" t="s">
        <v>1015</v>
      </c>
      <c r="E20" s="104" t="s">
        <v>883</v>
      </c>
      <c r="F20" s="166" t="s">
        <v>85</v>
      </c>
      <c r="G20" s="166" t="s">
        <v>263</v>
      </c>
      <c r="H20" s="166" t="s">
        <v>1067</v>
      </c>
      <c r="I20" s="166" t="s">
        <v>1101</v>
      </c>
      <c r="J20" s="166" t="s">
        <v>1102</v>
      </c>
      <c r="K20" s="166" t="s">
        <v>1066</v>
      </c>
      <c r="L20" s="166" t="s">
        <v>157</v>
      </c>
      <c r="M20" s="166" t="s">
        <v>2344</v>
      </c>
    </row>
    <row r="21" spans="1:13" ht="30">
      <c r="A21" s="333">
        <v>2026</v>
      </c>
      <c r="B21" s="104" t="s">
        <v>146</v>
      </c>
      <c r="C21" s="104" t="s">
        <v>801</v>
      </c>
      <c r="D21" s="170" t="s">
        <v>1061</v>
      </c>
      <c r="E21" s="170" t="s">
        <v>1138</v>
      </c>
      <c r="F21" s="88"/>
      <c r="G21" s="88"/>
      <c r="H21" s="88"/>
      <c r="I21" s="104" t="s">
        <v>2396</v>
      </c>
      <c r="J21" s="88"/>
      <c r="K21" s="88"/>
      <c r="L21" s="88"/>
      <c r="M21" s="104" t="s">
        <v>2346</v>
      </c>
    </row>
    <row r="22" spans="1:13" ht="18" customHeight="1">
      <c r="A22" s="334"/>
      <c r="B22" s="170" t="s">
        <v>846</v>
      </c>
      <c r="C22" s="170" t="s">
        <v>2048</v>
      </c>
      <c r="D22" s="170" t="s">
        <v>2049</v>
      </c>
      <c r="E22" s="170" t="s">
        <v>2050</v>
      </c>
      <c r="F22" s="3"/>
      <c r="G22" s="3"/>
      <c r="H22" s="3"/>
      <c r="I22" s="3"/>
      <c r="J22" s="3"/>
      <c r="K22" s="3"/>
      <c r="L22" s="3"/>
      <c r="M22" s="3"/>
    </row>
    <row r="23" spans="1:13" ht="18" customHeight="1">
      <c r="A23" s="333">
        <v>2027</v>
      </c>
      <c r="B23" s="170" t="s">
        <v>823</v>
      </c>
      <c r="C23" s="170" t="s">
        <v>1164</v>
      </c>
      <c r="D23" s="170" t="s">
        <v>2119</v>
      </c>
      <c r="E23" s="170" t="s">
        <v>2300</v>
      </c>
      <c r="F23" s="88"/>
      <c r="G23" s="88"/>
      <c r="H23" s="3"/>
      <c r="I23" s="3"/>
      <c r="J23" s="3"/>
      <c r="K23" s="3"/>
      <c r="L23" s="88"/>
      <c r="M23" s="88"/>
    </row>
    <row r="24" spans="1:13" ht="18" customHeight="1">
      <c r="A24" s="334"/>
      <c r="B24" s="170" t="s">
        <v>2160</v>
      </c>
      <c r="C24" s="104" t="s">
        <v>2347</v>
      </c>
      <c r="D24" s="104" t="s">
        <v>2379</v>
      </c>
      <c r="E24" s="104" t="s">
        <v>2783</v>
      </c>
      <c r="F24" s="3"/>
      <c r="G24" s="3"/>
      <c r="H24" s="3"/>
      <c r="I24" s="3"/>
      <c r="J24" s="3"/>
      <c r="K24" s="3"/>
      <c r="L24" s="3"/>
      <c r="M24" s="3"/>
    </row>
    <row r="25" spans="1:13" ht="18" customHeight="1">
      <c r="A25" s="333">
        <v>2028</v>
      </c>
      <c r="B25" s="170" t="s">
        <v>2449</v>
      </c>
      <c r="C25" s="104" t="s">
        <v>2118</v>
      </c>
      <c r="D25" s="88" t="s">
        <v>2504</v>
      </c>
      <c r="E25" s="88"/>
      <c r="F25" s="88"/>
      <c r="G25" s="88"/>
      <c r="H25" s="3"/>
      <c r="I25" s="3"/>
      <c r="J25" s="3"/>
      <c r="K25" s="3"/>
      <c r="L25" s="88"/>
      <c r="M25" s="88"/>
    </row>
    <row r="26" spans="1:13" ht="18" customHeight="1">
      <c r="A26" s="334"/>
      <c r="B26" s="88"/>
      <c r="C26" s="88"/>
      <c r="D26" s="213"/>
      <c r="E26" s="88"/>
      <c r="F26" s="3"/>
      <c r="G26" s="3"/>
      <c r="H26" s="3"/>
      <c r="I26" s="3"/>
      <c r="J26" s="3"/>
      <c r="K26" s="3"/>
      <c r="L26" s="3"/>
      <c r="M26" s="3"/>
    </row>
    <row r="27" spans="1:13" ht="18" customHeight="1"/>
    <row r="28" spans="1:13" ht="18" customHeight="1"/>
    <row r="29" spans="1:13" ht="45">
      <c r="A29" s="335" t="s">
        <v>2189</v>
      </c>
      <c r="B29" s="336" t="s">
        <v>645</v>
      </c>
      <c r="C29" s="336"/>
      <c r="D29" s="336"/>
      <c r="E29" s="336"/>
      <c r="F29" s="155" t="s">
        <v>627</v>
      </c>
      <c r="G29" s="155" t="s">
        <v>626</v>
      </c>
      <c r="H29" s="155" t="s">
        <v>629</v>
      </c>
      <c r="I29" s="155" t="s">
        <v>632</v>
      </c>
      <c r="J29" s="155" t="s">
        <v>634</v>
      </c>
      <c r="K29" s="155" t="s">
        <v>637</v>
      </c>
      <c r="L29" s="155" t="s">
        <v>639</v>
      </c>
      <c r="M29" s="155" t="s">
        <v>642</v>
      </c>
    </row>
    <row r="30" spans="1:13" ht="30">
      <c r="A30" s="335"/>
      <c r="B30" s="336"/>
      <c r="C30" s="336"/>
      <c r="D30" s="336"/>
      <c r="E30" s="336"/>
      <c r="F30" s="155" t="s">
        <v>624</v>
      </c>
      <c r="G30" s="155" t="s">
        <v>628</v>
      </c>
      <c r="H30" s="155" t="s">
        <v>630</v>
      </c>
      <c r="I30" s="155" t="s">
        <v>633</v>
      </c>
      <c r="J30" s="155" t="s">
        <v>635</v>
      </c>
      <c r="K30" s="155" t="s">
        <v>638</v>
      </c>
      <c r="L30" s="155" t="s">
        <v>640</v>
      </c>
      <c r="M30" s="155" t="s">
        <v>643</v>
      </c>
    </row>
    <row r="31" spans="1:13" ht="18" customHeight="1">
      <c r="A31" s="335"/>
      <c r="B31" s="336"/>
      <c r="C31" s="336"/>
      <c r="D31" s="336"/>
      <c r="E31" s="336"/>
      <c r="F31" s="155" t="s">
        <v>625</v>
      </c>
      <c r="G31" s="155"/>
      <c r="H31" s="155" t="s">
        <v>631</v>
      </c>
      <c r="I31" s="205"/>
      <c r="J31" s="155" t="s">
        <v>636</v>
      </c>
      <c r="K31" s="155"/>
      <c r="L31" s="155" t="s">
        <v>641</v>
      </c>
      <c r="M31" s="155" t="s">
        <v>644</v>
      </c>
    </row>
    <row r="32" spans="1:13" ht="14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60">
      <c r="A34" s="325" t="s">
        <v>2191</v>
      </c>
      <c r="B34" s="156" t="s">
        <v>2393</v>
      </c>
      <c r="C34" s="156" t="s">
        <v>2399</v>
      </c>
      <c r="D34" s="156" t="s">
        <v>2400</v>
      </c>
      <c r="E34" s="156" t="s">
        <v>2401</v>
      </c>
      <c r="F34" s="156" t="s">
        <v>2206</v>
      </c>
      <c r="G34" s="156" t="s">
        <v>2245</v>
      </c>
      <c r="H34" s="156" t="s">
        <v>2197</v>
      </c>
      <c r="I34" s="156" t="s">
        <v>2385</v>
      </c>
      <c r="J34" s="156" t="s">
        <v>2205</v>
      </c>
      <c r="K34" s="156"/>
      <c r="L34" s="156"/>
      <c r="M34" s="156" t="s">
        <v>2219</v>
      </c>
    </row>
    <row r="35" spans="1:13" ht="45">
      <c r="A35" s="326"/>
      <c r="B35" s="156" t="s">
        <v>2402</v>
      </c>
      <c r="C35" s="156" t="s">
        <v>2403</v>
      </c>
      <c r="D35" s="156" t="s">
        <v>2404</v>
      </c>
      <c r="E35" s="156" t="s">
        <v>2195</v>
      </c>
      <c r="F35" s="156" t="s">
        <v>2208</v>
      </c>
      <c r="G35" s="156" t="s">
        <v>2248</v>
      </c>
      <c r="H35" s="156" t="s">
        <v>2204</v>
      </c>
      <c r="I35" s="156" t="s">
        <v>2217</v>
      </c>
      <c r="J35" s="156"/>
      <c r="K35" s="156"/>
      <c r="L35" s="156"/>
      <c r="M35" s="156"/>
    </row>
    <row r="36" spans="1:13" ht="45">
      <c r="A36" s="326"/>
      <c r="B36" s="156" t="s">
        <v>2192</v>
      </c>
      <c r="C36" s="156" t="s">
        <v>2193</v>
      </c>
      <c r="D36" s="156" t="s">
        <v>2194</v>
      </c>
      <c r="E36" s="156" t="s">
        <v>2200</v>
      </c>
      <c r="F36" s="156" t="s">
        <v>2226</v>
      </c>
      <c r="G36" s="156"/>
      <c r="H36" s="156" t="s">
        <v>2210</v>
      </c>
      <c r="I36" s="156" t="s">
        <v>2218</v>
      </c>
      <c r="J36" s="156"/>
      <c r="K36" s="156"/>
      <c r="L36" s="156"/>
      <c r="M36" s="156"/>
    </row>
    <row r="37" spans="1:13" ht="60">
      <c r="A37" s="326"/>
      <c r="B37" s="156" t="s">
        <v>2196</v>
      </c>
      <c r="C37" s="156" t="s">
        <v>2198</v>
      </c>
      <c r="D37" s="156" t="s">
        <v>2199</v>
      </c>
      <c r="E37" s="156" t="s">
        <v>2207</v>
      </c>
      <c r="F37" s="156" t="s">
        <v>2243</v>
      </c>
      <c r="G37" s="156"/>
      <c r="H37" s="156" t="s">
        <v>2254</v>
      </c>
      <c r="I37" s="156" t="s">
        <v>2221</v>
      </c>
      <c r="J37" s="156"/>
      <c r="K37" s="156"/>
      <c r="L37" s="156"/>
      <c r="M37" s="156"/>
    </row>
    <row r="38" spans="1:13" ht="60">
      <c r="A38" s="326"/>
      <c r="B38" s="156" t="s">
        <v>2209</v>
      </c>
      <c r="C38" s="156" t="s">
        <v>2202</v>
      </c>
      <c r="D38" s="156" t="s">
        <v>2203</v>
      </c>
      <c r="E38" s="156" t="s">
        <v>2213</v>
      </c>
      <c r="F38" s="156" t="s">
        <v>2246</v>
      </c>
      <c r="G38" s="156"/>
      <c r="H38" s="156" t="s">
        <v>2255</v>
      </c>
      <c r="I38" s="156" t="s">
        <v>2222</v>
      </c>
      <c r="J38" s="156"/>
      <c r="K38" s="156"/>
      <c r="L38" s="156"/>
      <c r="M38" s="156"/>
    </row>
    <row r="39" spans="1:13" ht="26.5" customHeight="1">
      <c r="A39" s="326"/>
      <c r="B39" s="156" t="s">
        <v>2201</v>
      </c>
      <c r="C39" s="156" t="s">
        <v>2211</v>
      </c>
      <c r="D39" s="156" t="s">
        <v>2212</v>
      </c>
      <c r="E39" s="156" t="s">
        <v>2220</v>
      </c>
      <c r="F39" s="156" t="s">
        <v>2247</v>
      </c>
      <c r="G39" s="156"/>
      <c r="H39" s="156" t="s">
        <v>1151</v>
      </c>
      <c r="I39" s="156" t="s">
        <v>2244</v>
      </c>
      <c r="J39" s="156"/>
      <c r="K39" s="156"/>
      <c r="L39" s="156"/>
      <c r="M39" s="156"/>
    </row>
    <row r="40" spans="1:13" ht="26.5" customHeight="1">
      <c r="A40" s="326"/>
      <c r="B40" s="156" t="s">
        <v>2214</v>
      </c>
      <c r="C40" s="156" t="s">
        <v>2215</v>
      </c>
      <c r="D40" s="156" t="s">
        <v>2216</v>
      </c>
      <c r="E40" s="156" t="s">
        <v>2233</v>
      </c>
      <c r="F40" s="156" t="s">
        <v>2250</v>
      </c>
      <c r="G40" s="156"/>
      <c r="H40" s="156" t="s">
        <v>1152</v>
      </c>
      <c r="I40" s="156"/>
      <c r="J40" s="156"/>
      <c r="K40" s="156"/>
      <c r="L40" s="156"/>
      <c r="M40" s="156"/>
    </row>
    <row r="41" spans="1:13" ht="26.5" customHeight="1">
      <c r="A41" s="326"/>
      <c r="B41" s="156" t="s">
        <v>2223</v>
      </c>
      <c r="C41" s="156" t="s">
        <v>2224</v>
      </c>
      <c r="D41" s="156" t="s">
        <v>2232</v>
      </c>
      <c r="E41" s="156" t="s">
        <v>2251</v>
      </c>
      <c r="F41" s="156" t="s">
        <v>1036</v>
      </c>
      <c r="G41" s="156"/>
      <c r="H41" s="156"/>
      <c r="I41" s="156"/>
      <c r="J41" s="156"/>
      <c r="K41" s="156"/>
      <c r="L41" s="156"/>
      <c r="M41" s="156"/>
    </row>
    <row r="42" spans="1:13" ht="26.5" customHeight="1">
      <c r="A42" s="326"/>
      <c r="B42" s="156" t="s">
        <v>2241</v>
      </c>
      <c r="C42" s="156" t="s">
        <v>2242</v>
      </c>
      <c r="D42" s="156" t="s">
        <v>2249</v>
      </c>
      <c r="E42" s="156" t="s">
        <v>2257</v>
      </c>
      <c r="F42" s="156"/>
      <c r="G42" s="156"/>
      <c r="H42" s="156"/>
      <c r="I42" s="156"/>
      <c r="J42" s="156"/>
      <c r="K42" s="156"/>
      <c r="L42" s="156"/>
      <c r="M42" s="156"/>
    </row>
    <row r="43" spans="1:13" ht="30">
      <c r="A43" s="326"/>
      <c r="B43" s="156" t="s">
        <v>2252</v>
      </c>
      <c r="C43" s="156" t="s">
        <v>2253</v>
      </c>
      <c r="D43" s="156" t="s">
        <v>2256</v>
      </c>
      <c r="E43" s="156"/>
      <c r="F43" s="156"/>
      <c r="G43" s="156"/>
      <c r="H43" s="156"/>
      <c r="I43" s="156"/>
      <c r="J43" s="156"/>
      <c r="K43" s="156"/>
      <c r="L43" s="156"/>
      <c r="M43" s="156"/>
    </row>
    <row r="44" spans="1:13" ht="18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18" customHeight="1">
      <c r="B45" s="23" t="s">
        <v>1154</v>
      </c>
      <c r="C45" s="23" t="s">
        <v>1153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8" customHeight="1">
      <c r="B46" s="23"/>
      <c r="C46" s="23"/>
      <c r="D46" s="23"/>
      <c r="E46" s="23"/>
      <c r="F46" s="23"/>
      <c r="G46" s="23"/>
      <c r="H46" s="71"/>
      <c r="I46" s="23"/>
      <c r="J46" s="23"/>
      <c r="K46" s="23"/>
      <c r="L46" s="23"/>
      <c r="M46" s="23"/>
    </row>
    <row r="47" spans="1:13" ht="18" customHeight="1">
      <c r="B47" s="324" t="s">
        <v>487</v>
      </c>
      <c r="C47" s="324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ht="18" customHeight="1">
      <c r="A48" s="23"/>
      <c r="B48" s="215" t="s">
        <v>2712</v>
      </c>
      <c r="C48" s="216">
        <f xml:space="preserve"> 22</f>
        <v>22</v>
      </c>
      <c r="D48" s="23"/>
      <c r="E48" s="23"/>
      <c r="F48" s="23"/>
    </row>
    <row r="49" spans="1:11" ht="18" customHeight="1">
      <c r="A49" s="23"/>
      <c r="B49" s="157" t="str">
        <f xml:space="preserve"> H14</f>
        <v>蔡康永的说话之道2</v>
      </c>
      <c r="C49" s="327">
        <f xml:space="preserve"> ((310 - 2)) / C48</f>
        <v>14</v>
      </c>
      <c r="D49" s="23"/>
      <c r="E49" s="23"/>
      <c r="F49" s="23"/>
    </row>
    <row r="50" spans="1:11" ht="18" customHeight="1">
      <c r="A50" s="23"/>
      <c r="B50" s="157" t="str">
        <f xml:space="preserve"> H17</f>
        <v>水煮三国</v>
      </c>
      <c r="C50" s="327"/>
      <c r="D50" s="23"/>
      <c r="E50" s="23"/>
      <c r="F50" s="23"/>
    </row>
    <row r="51" spans="1:11" ht="18" customHeight="1">
      <c r="A51" s="23"/>
      <c r="B51" s="23"/>
      <c r="C51" s="68"/>
      <c r="D51" s="23"/>
      <c r="E51" s="23"/>
      <c r="F51" s="23"/>
    </row>
    <row r="52" spans="1:11" ht="18" customHeight="1">
      <c r="A52" s="23"/>
      <c r="B52" s="157" t="s">
        <v>268</v>
      </c>
      <c r="C52" s="37">
        <v>73</v>
      </c>
      <c r="D52" s="23"/>
      <c r="E52" s="23"/>
      <c r="F52" s="23"/>
      <c r="G52" s="5">
        <v>1</v>
      </c>
      <c r="H52" s="5">
        <v>2</v>
      </c>
      <c r="I52" s="5">
        <v>3</v>
      </c>
      <c r="J52" s="5">
        <v>4</v>
      </c>
      <c r="K52" s="5">
        <v>5</v>
      </c>
    </row>
    <row r="53" spans="1:11" ht="18" customHeight="1">
      <c r="A53" s="23"/>
      <c r="B53" s="342" t="s">
        <v>2845</v>
      </c>
      <c r="C53" s="37">
        <f xml:space="preserve"> 3 + 1 + 1 + 8 + 1</f>
        <v>14</v>
      </c>
      <c r="D53" s="23"/>
      <c r="E53" s="23" t="s">
        <v>779</v>
      </c>
      <c r="F53" s="23"/>
      <c r="G53" s="23" t="s">
        <v>271</v>
      </c>
      <c r="H53" s="23" t="s">
        <v>770</v>
      </c>
      <c r="I53" s="214" t="s">
        <v>700</v>
      </c>
      <c r="J53" s="23" t="s">
        <v>265</v>
      </c>
      <c r="K53" s="214" t="s">
        <v>264</v>
      </c>
    </row>
    <row r="54" spans="1:11" ht="18" customHeight="1">
      <c r="A54" s="23"/>
      <c r="B54" s="343"/>
      <c r="C54" s="158">
        <f xml:space="preserve"> SUM(C52:C53)</f>
        <v>87</v>
      </c>
      <c r="D54" s="23"/>
      <c r="E54" s="23" t="s">
        <v>725</v>
      </c>
      <c r="F54" s="23"/>
      <c r="H54" s="6" t="s">
        <v>794</v>
      </c>
      <c r="I54" s="163" t="s">
        <v>270</v>
      </c>
      <c r="J54" s="23" t="s">
        <v>813</v>
      </c>
      <c r="K54" s="23" t="s">
        <v>2821</v>
      </c>
    </row>
    <row r="55" spans="1:11" ht="18" customHeight="1">
      <c r="A55" s="23"/>
      <c r="B55" s="23"/>
      <c r="C55" s="5"/>
      <c r="D55" s="23"/>
      <c r="E55" s="23" t="s">
        <v>726</v>
      </c>
      <c r="F55" s="23"/>
      <c r="G55" s="67"/>
      <c r="H55" s="6" t="s">
        <v>796</v>
      </c>
      <c r="I55" s="163" t="s">
        <v>612</v>
      </c>
      <c r="J55" s="23" t="s">
        <v>776</v>
      </c>
      <c r="K55" s="25"/>
    </row>
    <row r="56" spans="1:11" ht="18" customHeight="1">
      <c r="A56" s="23"/>
      <c r="B56" s="323" t="s">
        <v>269</v>
      </c>
      <c r="C56" s="37">
        <v>84</v>
      </c>
      <c r="D56" s="23"/>
      <c r="E56" s="23" t="s">
        <v>778</v>
      </c>
      <c r="F56" s="23"/>
      <c r="H56" s="6" t="s">
        <v>820</v>
      </c>
      <c r="I56" s="163" t="s">
        <v>781</v>
      </c>
      <c r="J56" s="23" t="s">
        <v>704</v>
      </c>
      <c r="K56" s="25"/>
    </row>
    <row r="57" spans="1:11" ht="30">
      <c r="A57" s="23"/>
      <c r="B57" s="323"/>
      <c r="C57" s="37">
        <f xml:space="preserve"> 3 + 1 + 1 + 8 + 1 + 1 + 1</f>
        <v>16</v>
      </c>
      <c r="D57" s="23"/>
      <c r="E57" s="23" t="s">
        <v>727</v>
      </c>
      <c r="F57" s="23" t="s">
        <v>729</v>
      </c>
      <c r="H57" s="6" t="s">
        <v>1048</v>
      </c>
      <c r="I57" s="163" t="s">
        <v>620</v>
      </c>
      <c r="J57" s="23" t="s">
        <v>488</v>
      </c>
    </row>
    <row r="58" spans="1:11" ht="18" customHeight="1">
      <c r="A58" s="23"/>
      <c r="B58" s="323"/>
      <c r="C58" s="37">
        <f xml:space="preserve"> SUM(C56:C57)</f>
        <v>100</v>
      </c>
      <c r="D58" s="23"/>
      <c r="E58" s="23" t="s">
        <v>728</v>
      </c>
      <c r="F58" s="23"/>
      <c r="H58" s="6"/>
      <c r="I58" s="163" t="s">
        <v>621</v>
      </c>
      <c r="J58" s="23" t="s">
        <v>619</v>
      </c>
    </row>
    <row r="59" spans="1:11" ht="18" customHeight="1">
      <c r="A59" s="23"/>
      <c r="B59" s="5"/>
      <c r="C59" s="5"/>
      <c r="D59" s="23"/>
      <c r="E59" s="23"/>
      <c r="F59" s="23"/>
      <c r="H59" s="69" t="s">
        <v>793</v>
      </c>
      <c r="I59" s="163" t="s">
        <v>622</v>
      </c>
      <c r="J59" s="23" t="s">
        <v>699</v>
      </c>
    </row>
    <row r="60" spans="1:11" ht="18" customHeight="1">
      <c r="A60" s="23"/>
      <c r="B60" s="157" t="s">
        <v>842</v>
      </c>
      <c r="C60" s="187">
        <v>0</v>
      </c>
      <c r="D60" s="23"/>
      <c r="E60" s="23"/>
      <c r="F60" s="23"/>
      <c r="H60" s="69" t="s">
        <v>784</v>
      </c>
      <c r="I60" s="174" t="s">
        <v>656</v>
      </c>
      <c r="J60" s="23" t="s">
        <v>843</v>
      </c>
    </row>
    <row r="61" spans="1:11" ht="18" customHeight="1">
      <c r="A61" s="23"/>
      <c r="B61" s="157" t="s">
        <v>2282</v>
      </c>
      <c r="C61" s="188" t="s">
        <v>2827</v>
      </c>
      <c r="D61" s="23"/>
      <c r="E61" s="23"/>
      <c r="F61" s="23"/>
      <c r="H61" s="69" t="s">
        <v>785</v>
      </c>
      <c r="I61" s="163" t="s">
        <v>798</v>
      </c>
      <c r="J61" s="23" t="s">
        <v>265</v>
      </c>
    </row>
    <row r="62" spans="1:11" ht="18" customHeight="1">
      <c r="A62" s="23"/>
      <c r="B62" s="23"/>
      <c r="C62" s="95"/>
      <c r="D62" s="23"/>
      <c r="E62" s="23"/>
      <c r="F62" s="23"/>
      <c r="H62" s="6"/>
      <c r="I62" s="163" t="s">
        <v>819</v>
      </c>
    </row>
    <row r="63" spans="1:11" ht="18" customHeight="1">
      <c r="A63" s="23"/>
      <c r="B63" s="339" t="s">
        <v>2190</v>
      </c>
      <c r="C63" s="339"/>
      <c r="D63" s="339" t="s">
        <v>2707</v>
      </c>
      <c r="E63" s="339"/>
      <c r="F63" s="23"/>
      <c r="H63" s="6"/>
      <c r="I63" s="163" t="s">
        <v>821</v>
      </c>
    </row>
    <row r="64" spans="1:11" ht="18" customHeight="1">
      <c r="A64" s="23"/>
      <c r="B64" s="168" t="s">
        <v>1160</v>
      </c>
      <c r="C64" s="340" t="s">
        <v>2523</v>
      </c>
      <c r="D64" s="168" t="s">
        <v>2692</v>
      </c>
      <c r="E64" s="168" t="s">
        <v>2692</v>
      </c>
      <c r="F64" s="23"/>
      <c r="H64" s="6"/>
      <c r="I64" s="163" t="s">
        <v>834</v>
      </c>
    </row>
    <row r="65" spans="1:9" ht="18" customHeight="1">
      <c r="A65" s="23"/>
      <c r="B65" s="157" t="s">
        <v>2527</v>
      </c>
      <c r="C65" s="341"/>
      <c r="D65" s="168" t="s">
        <v>2692</v>
      </c>
      <c r="E65" s="208" t="s">
        <v>2693</v>
      </c>
      <c r="F65" s="23"/>
      <c r="H65" s="6"/>
      <c r="I65" s="163" t="s">
        <v>835</v>
      </c>
    </row>
    <row r="66" spans="1:9" ht="18" customHeight="1">
      <c r="A66" s="23"/>
      <c r="B66" s="168" t="s">
        <v>2523</v>
      </c>
      <c r="C66" s="328" t="s">
        <v>2725</v>
      </c>
      <c r="D66" s="339" t="s">
        <v>2713</v>
      </c>
      <c r="E66" s="339"/>
      <c r="F66" s="23"/>
      <c r="H66" s="6"/>
      <c r="I66" s="163" t="s">
        <v>836</v>
      </c>
    </row>
    <row r="67" spans="1:9" ht="18" customHeight="1">
      <c r="A67" s="23"/>
      <c r="B67" s="157" t="s">
        <v>2778</v>
      </c>
      <c r="C67" s="329"/>
      <c r="D67" s="168" t="s">
        <v>2694</v>
      </c>
      <c r="E67" s="168" t="s">
        <v>2694</v>
      </c>
      <c r="F67" s="23"/>
      <c r="H67" s="6"/>
      <c r="I67" s="163" t="s">
        <v>839</v>
      </c>
    </row>
    <row r="68" spans="1:9" ht="18" customHeight="1">
      <c r="A68" s="23"/>
      <c r="B68" s="157" t="s">
        <v>2725</v>
      </c>
      <c r="C68" s="328" t="s">
        <v>2799</v>
      </c>
      <c r="D68" s="168" t="s">
        <v>2694</v>
      </c>
      <c r="E68" s="208" t="s">
        <v>2694</v>
      </c>
      <c r="I68" s="163" t="s">
        <v>840</v>
      </c>
    </row>
    <row r="69" spans="1:9" ht="18" customHeight="1">
      <c r="A69" s="23"/>
      <c r="B69" s="157" t="s">
        <v>2326</v>
      </c>
      <c r="C69" s="329"/>
      <c r="D69" s="168" t="s">
        <v>2694</v>
      </c>
      <c r="E69" s="212" t="s">
        <v>2695</v>
      </c>
      <c r="F69" s="23"/>
      <c r="I69" s="163" t="s">
        <v>841</v>
      </c>
    </row>
    <row r="70" spans="1:9" ht="18" customHeight="1">
      <c r="A70" s="23"/>
      <c r="B70" s="19"/>
      <c r="I70" s="174" t="s">
        <v>856</v>
      </c>
    </row>
    <row r="71" spans="1:9" ht="18" customHeight="1">
      <c r="A71" s="23"/>
      <c r="B71" s="19"/>
      <c r="I71" s="163" t="s">
        <v>863</v>
      </c>
    </row>
    <row r="72" spans="1:9" ht="30">
      <c r="A72" s="23"/>
      <c r="B72" s="19"/>
      <c r="I72" s="163" t="s">
        <v>936</v>
      </c>
    </row>
    <row r="73" spans="1:9" ht="18" customHeight="1">
      <c r="A73" s="23"/>
      <c r="B73" s="70"/>
      <c r="I73" s="163" t="s">
        <v>939</v>
      </c>
    </row>
    <row r="74" spans="1:9" ht="18" customHeight="1">
      <c r="A74" s="23"/>
      <c r="B74"/>
      <c r="I74" s="163" t="s">
        <v>946</v>
      </c>
    </row>
    <row r="75" spans="1:9" ht="18" customHeight="1">
      <c r="A75" s="23"/>
      <c r="B75"/>
      <c r="I75" s="163" t="s">
        <v>1035</v>
      </c>
    </row>
    <row r="76" spans="1:9" ht="18" customHeight="1">
      <c r="A76" s="23"/>
      <c r="I76" s="163" t="s">
        <v>1041</v>
      </c>
    </row>
    <row r="77" spans="1:9" ht="30">
      <c r="A77" s="23"/>
      <c r="I77" s="163" t="s">
        <v>1064</v>
      </c>
    </row>
    <row r="78" spans="1:9" ht="18" customHeight="1">
      <c r="A78" s="23"/>
      <c r="I78" s="163" t="s">
        <v>2665</v>
      </c>
    </row>
    <row r="79" spans="1:9" ht="18" customHeight="1">
      <c r="A79" s="23"/>
      <c r="I79" s="163" t="s">
        <v>1162</v>
      </c>
    </row>
    <row r="80" spans="1:9" ht="18" customHeight="1">
      <c r="A80" s="23"/>
      <c r="I80" s="163" t="s">
        <v>2666</v>
      </c>
    </row>
    <row r="81" spans="1:9" ht="18" customHeight="1">
      <c r="A81" s="23"/>
      <c r="I81" s="163" t="s">
        <v>2084</v>
      </c>
    </row>
    <row r="82" spans="1:9" ht="18" customHeight="1">
      <c r="A82" s="23"/>
      <c r="I82" s="163" t="s">
        <v>2099</v>
      </c>
    </row>
    <row r="83" spans="1:9" ht="30">
      <c r="A83" s="23"/>
      <c r="I83" s="163" t="s">
        <v>2268</v>
      </c>
    </row>
    <row r="84" spans="1:9" ht="18" customHeight="1">
      <c r="A84" s="23"/>
      <c r="I84" s="163" t="s">
        <v>2117</v>
      </c>
    </row>
    <row r="85" spans="1:9" ht="18" customHeight="1">
      <c r="A85" s="23"/>
      <c r="I85" s="163" t="s">
        <v>2384</v>
      </c>
    </row>
    <row r="86" spans="1:9" ht="18" customHeight="1">
      <c r="A86" s="23"/>
      <c r="I86" s="163" t="s">
        <v>266</v>
      </c>
    </row>
    <row r="87" spans="1:9" ht="18" customHeight="1">
      <c r="A87" s="23"/>
      <c r="I87" s="163" t="s">
        <v>609</v>
      </c>
    </row>
    <row r="88" spans="1:9" ht="18" customHeight="1">
      <c r="A88" s="23"/>
      <c r="I88" s="163" t="s">
        <v>610</v>
      </c>
    </row>
    <row r="89" spans="1:9" ht="18" customHeight="1">
      <c r="A89" s="23"/>
      <c r="I89" s="164"/>
    </row>
    <row r="90" spans="1:9" ht="18" customHeight="1">
      <c r="A90" s="23"/>
      <c r="I90" s="165" t="s">
        <v>617</v>
      </c>
    </row>
    <row r="91" spans="1:9" ht="18" customHeight="1">
      <c r="A91" s="23"/>
      <c r="I91" s="165" t="s">
        <v>611</v>
      </c>
    </row>
    <row r="92" spans="1:9" ht="18" customHeight="1">
      <c r="A92" s="23"/>
      <c r="I92" s="165" t="s">
        <v>613</v>
      </c>
    </row>
    <row r="93" spans="1:9" ht="18" customHeight="1">
      <c r="A93" s="23"/>
      <c r="I93" s="165" t="s">
        <v>797</v>
      </c>
    </row>
    <row r="94" spans="1:9" ht="18" customHeight="1">
      <c r="A94" s="23"/>
      <c r="I94" s="165" t="s">
        <v>838</v>
      </c>
    </row>
    <row r="95" spans="1:9" ht="18" customHeight="1">
      <c r="A95" s="23"/>
      <c r="I95" s="179" t="s">
        <v>2046</v>
      </c>
    </row>
    <row r="96" spans="1:9" ht="18" customHeight="1">
      <c r="A96" s="23"/>
      <c r="I96" s="165" t="s">
        <v>655</v>
      </c>
    </row>
    <row r="97" spans="1:9" ht="18" customHeight="1">
      <c r="A97" s="23"/>
      <c r="I97" s="165" t="s">
        <v>837</v>
      </c>
    </row>
    <row r="98" spans="1:9" ht="14">
      <c r="A98" s="23"/>
    </row>
    <row r="99" spans="1:9" ht="14">
      <c r="A99" s="23"/>
    </row>
    <row r="100" spans="1:9" ht="14">
      <c r="A100" s="23"/>
    </row>
    <row r="101" spans="1:9" ht="14">
      <c r="A101" s="23"/>
    </row>
    <row r="102" spans="1:9" ht="14">
      <c r="A102" s="23"/>
    </row>
    <row r="103" spans="1:9" ht="14">
      <c r="A103" s="23"/>
    </row>
    <row r="104" spans="1:9" ht="14">
      <c r="A104" s="23"/>
    </row>
    <row r="105" spans="1:9" ht="14">
      <c r="A105" s="23"/>
    </row>
    <row r="106" spans="1:9" ht="14">
      <c r="A106" s="23"/>
    </row>
    <row r="107" spans="1:9" ht="14">
      <c r="A107" s="23"/>
    </row>
    <row r="108" spans="1:9" ht="14">
      <c r="A108" s="23"/>
    </row>
    <row r="109" spans="1:9" ht="14">
      <c r="A109" s="23"/>
    </row>
    <row r="110" spans="1:9" ht="14">
      <c r="A110" s="23"/>
    </row>
    <row r="111" spans="1:9" ht="14">
      <c r="A111" s="23"/>
    </row>
    <row r="112" spans="1:9" ht="14">
      <c r="A112" s="23"/>
    </row>
    <row r="113" spans="1:1" ht="14">
      <c r="A113" s="23"/>
    </row>
    <row r="114" spans="1:1" ht="14">
      <c r="A114" s="23"/>
    </row>
    <row r="115" spans="1:1" ht="14">
      <c r="A115" s="23"/>
    </row>
    <row r="116" spans="1:1" ht="14">
      <c r="A116" s="23"/>
    </row>
    <row r="117" spans="1:1" ht="14">
      <c r="A117" s="23"/>
    </row>
    <row r="118" spans="1:1" ht="14">
      <c r="A118" s="23"/>
    </row>
    <row r="119" spans="1:1" ht="14">
      <c r="A119" s="23"/>
    </row>
    <row r="120" spans="1:1" ht="14">
      <c r="A120" s="23"/>
    </row>
    <row r="121" spans="1:1" ht="14">
      <c r="A121" s="23"/>
    </row>
    <row r="122" spans="1:1" ht="14">
      <c r="A122" s="23"/>
    </row>
    <row r="123" spans="1:1" ht="14">
      <c r="A123" s="23"/>
    </row>
    <row r="124" spans="1:1" ht="14">
      <c r="A124" s="23"/>
    </row>
    <row r="125" spans="1:1" ht="14">
      <c r="A125" s="23"/>
    </row>
  </sheetData>
  <mergeCells count="20">
    <mergeCell ref="D63:E63"/>
    <mergeCell ref="D66:E66"/>
    <mergeCell ref="A25:A26"/>
    <mergeCell ref="C64:C65"/>
    <mergeCell ref="B63:C63"/>
    <mergeCell ref="B53:B54"/>
    <mergeCell ref="B11:M11"/>
    <mergeCell ref="A14:A15"/>
    <mergeCell ref="A29:A31"/>
    <mergeCell ref="B29:E31"/>
    <mergeCell ref="A21:A22"/>
    <mergeCell ref="A17:A18"/>
    <mergeCell ref="A19:A20"/>
    <mergeCell ref="A23:A24"/>
    <mergeCell ref="B56:B58"/>
    <mergeCell ref="B47:C47"/>
    <mergeCell ref="A34:A43"/>
    <mergeCell ref="C49:C50"/>
    <mergeCell ref="C68:C69"/>
    <mergeCell ref="C66:C67"/>
  </mergeCells>
  <phoneticPr fontId="12" type="noConversion"/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Y790"/>
  <sheetViews>
    <sheetView zoomScale="120" zoomScaleNormal="120" workbookViewId="0">
      <selection activeCell="N21" sqref="N21"/>
    </sheetView>
  </sheetViews>
  <sheetFormatPr baseColWidth="10" defaultColWidth="9" defaultRowHeight="11"/>
  <cols>
    <col min="1" max="1" width="9" style="30" customWidth="1"/>
    <col min="2" max="2" width="5.83203125" style="31" customWidth="1"/>
    <col min="3" max="4" width="5.83203125" style="30" customWidth="1"/>
    <col min="5" max="5" width="5.6640625" style="31" customWidth="1"/>
    <col min="6" max="7" width="5.6640625" style="30" customWidth="1"/>
    <col min="8" max="11" width="5.6640625" style="31" customWidth="1"/>
    <col min="12" max="12" width="7.5" style="31" bestFit="1" customWidth="1"/>
    <col min="13" max="13" width="8.83203125" style="31" bestFit="1" customWidth="1"/>
    <col min="14" max="14" width="18.6640625" style="31" bestFit="1" customWidth="1"/>
    <col min="15" max="15" width="29.83203125" style="31" bestFit="1" customWidth="1"/>
    <col min="16" max="16" width="24.33203125" style="31" bestFit="1" customWidth="1"/>
    <col min="17" max="31" width="4.33203125" style="31" customWidth="1"/>
    <col min="32" max="16384" width="9" style="31"/>
  </cols>
  <sheetData>
    <row r="1" spans="1:25">
      <c r="A1" s="32" t="s">
        <v>1200</v>
      </c>
      <c r="B1" s="32" t="s">
        <v>127</v>
      </c>
      <c r="F1" s="345" t="s">
        <v>516</v>
      </c>
      <c r="G1" s="345"/>
      <c r="H1" s="345"/>
      <c r="I1" s="345"/>
      <c r="J1" s="345"/>
    </row>
    <row r="2" spans="1:25" ht="12" customHeight="1">
      <c r="A2" s="32" t="s">
        <v>382</v>
      </c>
      <c r="B2" s="219" t="s">
        <v>2808</v>
      </c>
      <c r="F2" s="34">
        <v>30</v>
      </c>
      <c r="G2" s="34">
        <v>18</v>
      </c>
      <c r="H2" s="34">
        <v>14</v>
      </c>
      <c r="I2" s="34">
        <v>10</v>
      </c>
      <c r="J2" s="34">
        <v>6</v>
      </c>
      <c r="N2" s="83" t="s">
        <v>996</v>
      </c>
    </row>
    <row r="3" spans="1:25" ht="12" customHeight="1">
      <c r="A3" s="32" t="s">
        <v>128</v>
      </c>
      <c r="B3" s="219" t="s">
        <v>2836</v>
      </c>
      <c r="F3" s="74"/>
      <c r="G3" s="54" t="s">
        <v>2838</v>
      </c>
      <c r="H3" s="54" t="s">
        <v>2838</v>
      </c>
      <c r="I3" s="54" t="s">
        <v>2809</v>
      </c>
      <c r="J3" s="74"/>
      <c r="K3" s="30"/>
      <c r="N3" s="97" t="s">
        <v>2037</v>
      </c>
      <c r="O3" s="180"/>
      <c r="P3" s="180"/>
    </row>
    <row r="4" spans="1:25" ht="12" customHeight="1">
      <c r="A4" s="32" t="s">
        <v>2181</v>
      </c>
      <c r="B4" s="220">
        <f xml:space="preserve"> 5 + 7 * 49</f>
        <v>348</v>
      </c>
      <c r="F4" s="74"/>
      <c r="H4" s="30"/>
      <c r="I4" s="30"/>
      <c r="N4" s="97" t="s">
        <v>2718</v>
      </c>
      <c r="O4" s="97"/>
      <c r="P4" s="97"/>
    </row>
    <row r="5" spans="1:25" ht="12" customHeight="1">
      <c r="A5" s="32" t="s">
        <v>1201</v>
      </c>
      <c r="B5" s="220">
        <f xml:space="preserve"> 5 + 7 * 49</f>
        <v>348</v>
      </c>
      <c r="F5" s="74"/>
      <c r="H5" s="30"/>
      <c r="I5" s="30"/>
      <c r="J5" s="30"/>
      <c r="N5" s="97" t="s">
        <v>2100</v>
      </c>
      <c r="O5" s="97"/>
      <c r="P5" s="180"/>
    </row>
    <row r="6" spans="1:25" ht="12" customHeight="1">
      <c r="A6" s="32" t="s">
        <v>692</v>
      </c>
      <c r="B6" s="220">
        <f xml:space="preserve"> 5 + 7 * 49</f>
        <v>348</v>
      </c>
      <c r="C6" s="36"/>
      <c r="F6"/>
      <c r="G6"/>
      <c r="H6"/>
      <c r="I6"/>
      <c r="J6"/>
      <c r="N6" s="97" t="s">
        <v>2423</v>
      </c>
      <c r="O6" s="204" t="s">
        <v>2422</v>
      </c>
      <c r="P6" s="97" t="s">
        <v>2719</v>
      </c>
    </row>
    <row r="7" spans="1:25" ht="12" customHeight="1">
      <c r="A7" s="32" t="s">
        <v>2837</v>
      </c>
      <c r="B7" s="220">
        <f xml:space="preserve"> 5 + 7 * 49</f>
        <v>348</v>
      </c>
      <c r="F7" s="345" t="s">
        <v>342</v>
      </c>
      <c r="G7" s="345"/>
      <c r="H7" s="345"/>
      <c r="I7" s="345"/>
      <c r="J7" s="345"/>
      <c r="K7" s="345"/>
      <c r="L7" s="30"/>
      <c r="N7" s="186" t="s">
        <v>2417</v>
      </c>
      <c r="O7" s="180" t="s">
        <v>2801</v>
      </c>
      <c r="P7" s="97" t="s">
        <v>2802</v>
      </c>
    </row>
    <row r="8" spans="1:25" ht="12" customHeight="1">
      <c r="A8" s="33"/>
      <c r="B8" s="35"/>
      <c r="F8" s="30">
        <v>7</v>
      </c>
      <c r="G8" s="30">
        <v>2</v>
      </c>
      <c r="H8" s="30">
        <v>5</v>
      </c>
      <c r="I8" s="35" t="s">
        <v>343</v>
      </c>
      <c r="J8" s="30"/>
      <c r="K8" s="30"/>
      <c r="M8" s="64"/>
      <c r="Q8" s="30"/>
    </row>
    <row r="9" spans="1:25">
      <c r="A9" s="33"/>
      <c r="B9" s="35"/>
      <c r="F9" s="30">
        <v>7</v>
      </c>
      <c r="G9" s="30">
        <v>4</v>
      </c>
      <c r="H9" s="30">
        <v>4</v>
      </c>
      <c r="I9" s="35" t="s">
        <v>343</v>
      </c>
      <c r="J9" s="30"/>
      <c r="K9" s="30"/>
      <c r="M9" s="64"/>
      <c r="N9" s="83" t="s">
        <v>2055</v>
      </c>
      <c r="Q9" s="30"/>
      <c r="R9" s="30"/>
      <c r="Y9" s="30"/>
    </row>
    <row r="10" spans="1:25" ht="12" customHeight="1">
      <c r="A10" s="33">
        <v>46009</v>
      </c>
      <c r="B10" s="30">
        <v>50</v>
      </c>
      <c r="E10"/>
      <c r="F10" s="30">
        <v>4</v>
      </c>
      <c r="G10" s="30">
        <v>4</v>
      </c>
      <c r="H10" s="30">
        <v>4</v>
      </c>
      <c r="I10" s="35" t="s">
        <v>343</v>
      </c>
      <c r="J10" s="30"/>
      <c r="K10" s="30"/>
      <c r="N10" s="31" t="s">
        <v>2057</v>
      </c>
      <c r="O10" s="97" t="s">
        <v>2056</v>
      </c>
    </row>
    <row r="11" spans="1:25" ht="12" customHeight="1">
      <c r="A11" s="33">
        <v>46010</v>
      </c>
      <c r="B11" s="30">
        <v>50</v>
      </c>
      <c r="E11" s="30"/>
      <c r="F11" s="30">
        <v>8</v>
      </c>
      <c r="G11" s="30">
        <v>6</v>
      </c>
      <c r="H11" s="30">
        <v>5</v>
      </c>
      <c r="I11" s="35" t="s">
        <v>343</v>
      </c>
      <c r="J11" s="30"/>
      <c r="K11" s="30"/>
      <c r="O11" s="97" t="s">
        <v>2137</v>
      </c>
    </row>
    <row r="12" spans="1:25" ht="12" customHeight="1">
      <c r="A12" s="33">
        <v>46011</v>
      </c>
      <c r="B12" s="30">
        <v>50</v>
      </c>
      <c r="E12" s="30"/>
      <c r="F12" s="30">
        <v>4</v>
      </c>
      <c r="G12" s="30">
        <v>7</v>
      </c>
      <c r="H12" s="30">
        <v>6</v>
      </c>
      <c r="I12" s="35" t="s">
        <v>343</v>
      </c>
      <c r="J12" s="30"/>
      <c r="K12" s="30"/>
      <c r="O12" s="177" t="s">
        <v>2376</v>
      </c>
      <c r="P12" s="178" t="s">
        <v>2444</v>
      </c>
    </row>
    <row r="13" spans="1:25" ht="12" customHeight="1">
      <c r="A13" s="33">
        <v>46012</v>
      </c>
      <c r="B13" s="30">
        <v>50</v>
      </c>
      <c r="E13" s="30"/>
      <c r="F13" s="30">
        <v>4</v>
      </c>
      <c r="G13" s="30">
        <v>4</v>
      </c>
      <c r="H13" s="30">
        <v>4</v>
      </c>
      <c r="I13" s="35" t="s">
        <v>343</v>
      </c>
      <c r="J13" s="30"/>
      <c r="K13" s="30"/>
    </row>
    <row r="14" spans="1:25" ht="12" customHeight="1">
      <c r="A14" s="33">
        <v>46013</v>
      </c>
      <c r="B14" s="30">
        <v>51</v>
      </c>
      <c r="E14" s="30"/>
      <c r="F14" s="344"/>
      <c r="G14" s="344"/>
      <c r="H14" s="344"/>
      <c r="I14" s="344"/>
      <c r="J14" s="344"/>
      <c r="K14" s="344"/>
    </row>
    <row r="15" spans="1:25" ht="12" customHeight="1">
      <c r="A15" s="33">
        <v>46014</v>
      </c>
      <c r="B15" s="30">
        <v>51</v>
      </c>
      <c r="E15" s="30"/>
      <c r="F15" s="30">
        <v>7</v>
      </c>
      <c r="G15" s="30">
        <v>2</v>
      </c>
      <c r="H15" s="30">
        <v>6</v>
      </c>
      <c r="I15" s="35" t="s">
        <v>343</v>
      </c>
      <c r="J15" s="30"/>
      <c r="K15" s="30"/>
    </row>
    <row r="16" spans="1:25" ht="12" customHeight="1">
      <c r="A16" s="33">
        <v>46015</v>
      </c>
      <c r="B16" s="30">
        <v>51</v>
      </c>
      <c r="E16" s="30"/>
      <c r="F16" s="30">
        <v>8</v>
      </c>
      <c r="G16" s="30">
        <v>3</v>
      </c>
      <c r="H16" s="30">
        <v>8</v>
      </c>
      <c r="I16" s="35" t="s">
        <v>343</v>
      </c>
      <c r="J16" s="30"/>
      <c r="K16" s="30"/>
      <c r="R16" s="30"/>
      <c r="Y16" s="30"/>
    </row>
    <row r="17" spans="1:25" ht="12" customHeight="1">
      <c r="A17" s="33">
        <v>46016</v>
      </c>
      <c r="B17" s="30">
        <v>51</v>
      </c>
      <c r="E17"/>
      <c r="F17" s="30">
        <v>7</v>
      </c>
      <c r="G17" s="30">
        <v>8</v>
      </c>
      <c r="H17" s="30">
        <v>8</v>
      </c>
      <c r="I17" s="35" t="s">
        <v>343</v>
      </c>
      <c r="J17" s="30"/>
      <c r="K17" s="30"/>
      <c r="L17" s="191"/>
      <c r="R17" s="30"/>
      <c r="Y17" s="30"/>
    </row>
    <row r="18" spans="1:25" ht="12" customHeight="1">
      <c r="A18" s="33">
        <v>46017</v>
      </c>
      <c r="B18" s="30">
        <v>51</v>
      </c>
      <c r="D18" s="31"/>
      <c r="E18" s="30"/>
      <c r="F18" s="30">
        <v>8</v>
      </c>
      <c r="G18" s="30">
        <v>6</v>
      </c>
      <c r="H18" s="30">
        <v>4</v>
      </c>
      <c r="I18" s="35" t="s">
        <v>343</v>
      </c>
      <c r="J18" s="30"/>
      <c r="K18" s="30"/>
    </row>
    <row r="19" spans="1:25" ht="12" customHeight="1">
      <c r="A19" s="33">
        <v>46018</v>
      </c>
      <c r="B19" s="30">
        <v>51</v>
      </c>
      <c r="D19" s="31"/>
      <c r="E19" s="30"/>
      <c r="F19" s="30">
        <v>4</v>
      </c>
      <c r="G19" s="30">
        <v>6</v>
      </c>
      <c r="H19" s="30">
        <v>8</v>
      </c>
      <c r="I19" s="35" t="s">
        <v>343</v>
      </c>
      <c r="J19" s="30"/>
      <c r="K19" s="30"/>
    </row>
    <row r="20" spans="1:25" ht="12" customHeight="1">
      <c r="A20" s="33">
        <v>46019</v>
      </c>
      <c r="B20" s="30">
        <v>51</v>
      </c>
      <c r="D20" s="31"/>
      <c r="E20" s="30"/>
      <c r="F20" s="30">
        <v>4</v>
      </c>
      <c r="G20" s="30">
        <v>8</v>
      </c>
      <c r="H20" s="30">
        <v>8</v>
      </c>
      <c r="I20" s="35" t="s">
        <v>343</v>
      </c>
      <c r="J20" s="30"/>
      <c r="K20" s="30"/>
    </row>
    <row r="21" spans="1:25" ht="12" customHeight="1">
      <c r="A21" s="33">
        <v>46020</v>
      </c>
      <c r="B21" s="30">
        <v>52</v>
      </c>
      <c r="D21" s="31"/>
      <c r="E21" s="30"/>
      <c r="F21" s="344" t="s">
        <v>712</v>
      </c>
      <c r="G21" s="344"/>
      <c r="H21" s="344"/>
      <c r="I21" s="344"/>
      <c r="J21" s="344"/>
      <c r="K21" s="344"/>
    </row>
    <row r="22" spans="1:25" ht="12" customHeight="1">
      <c r="A22" s="33">
        <v>46021</v>
      </c>
      <c r="B22" s="30">
        <v>52</v>
      </c>
      <c r="D22" s="31"/>
      <c r="E22" s="30"/>
      <c r="F22" s="344"/>
      <c r="G22" s="344"/>
      <c r="H22" s="344"/>
      <c r="I22" s="344"/>
      <c r="J22" s="344"/>
      <c r="K22" s="344"/>
    </row>
    <row r="23" spans="1:25" ht="12" customHeight="1">
      <c r="A23" s="33">
        <v>46022</v>
      </c>
      <c r="B23" s="30">
        <v>52</v>
      </c>
      <c r="E23" s="30"/>
      <c r="F23" s="54">
        <v>0</v>
      </c>
      <c r="G23" s="54">
        <v>0</v>
      </c>
      <c r="H23" s="54">
        <v>0</v>
      </c>
      <c r="I23" s="35" t="s">
        <v>343</v>
      </c>
      <c r="J23" s="30">
        <f t="shared" ref="J23" si="0">SUM(F23:H23)</f>
        <v>0</v>
      </c>
      <c r="K23" s="30">
        <f t="shared" ref="K23" si="1" xml:space="preserve"> MOD(J23, 6)</f>
        <v>0</v>
      </c>
    </row>
    <row r="24" spans="1:25" ht="12" customHeight="1">
      <c r="A24" s="33"/>
      <c r="B24" s="30"/>
      <c r="E24" s="30"/>
      <c r="F24" s="54">
        <v>0</v>
      </c>
      <c r="G24" s="54">
        <v>0</v>
      </c>
      <c r="H24" s="54">
        <v>0</v>
      </c>
      <c r="I24" s="35" t="s">
        <v>343</v>
      </c>
      <c r="J24" s="30">
        <f t="shared" ref="J24:J28" si="2">SUM(F24:H24)</f>
        <v>0</v>
      </c>
      <c r="K24" s="30">
        <f t="shared" ref="K24:K28" si="3" xml:space="preserve"> MOD(J24, 6)</f>
        <v>0</v>
      </c>
    </row>
    <row r="25" spans="1:25" ht="12" customHeight="1">
      <c r="A25" s="33"/>
      <c r="B25" s="30"/>
      <c r="E25" s="30"/>
      <c r="F25" s="54">
        <v>0</v>
      </c>
      <c r="G25" s="54">
        <v>0</v>
      </c>
      <c r="H25" s="54">
        <v>0</v>
      </c>
      <c r="I25" s="35" t="s">
        <v>343</v>
      </c>
      <c r="J25" s="30">
        <f t="shared" si="2"/>
        <v>0</v>
      </c>
      <c r="K25" s="30">
        <f t="shared" si="3"/>
        <v>0</v>
      </c>
    </row>
    <row r="26" spans="1:25" ht="12" customHeight="1">
      <c r="A26" s="33"/>
      <c r="B26" s="30"/>
      <c r="E26" s="30"/>
      <c r="F26" s="54">
        <v>0</v>
      </c>
      <c r="G26" s="54">
        <v>0</v>
      </c>
      <c r="H26" s="54">
        <v>0</v>
      </c>
      <c r="I26" s="35" t="s">
        <v>343</v>
      </c>
      <c r="J26" s="30">
        <f t="shared" si="2"/>
        <v>0</v>
      </c>
      <c r="K26" s="30">
        <f t="shared" si="3"/>
        <v>0</v>
      </c>
    </row>
    <row r="27" spans="1:25" ht="12" customHeight="1">
      <c r="A27" s="33"/>
      <c r="B27" s="30" t="s">
        <v>694</v>
      </c>
      <c r="E27" s="30"/>
      <c r="F27" s="54">
        <v>0</v>
      </c>
      <c r="G27" s="54">
        <v>0</v>
      </c>
      <c r="H27" s="54">
        <v>0</v>
      </c>
      <c r="I27" s="35" t="s">
        <v>343</v>
      </c>
      <c r="J27" s="30">
        <f t="shared" si="2"/>
        <v>0</v>
      </c>
      <c r="K27" s="30">
        <f t="shared" si="3"/>
        <v>0</v>
      </c>
    </row>
    <row r="28" spans="1:25" ht="12" customHeight="1">
      <c r="A28" s="33">
        <v>46023</v>
      </c>
      <c r="B28" s="30">
        <v>1</v>
      </c>
      <c r="E28" s="30"/>
      <c r="F28" s="54">
        <v>0</v>
      </c>
      <c r="G28" s="54">
        <v>0</v>
      </c>
      <c r="H28" s="54">
        <v>0</v>
      </c>
      <c r="I28" s="35" t="s">
        <v>343</v>
      </c>
      <c r="J28" s="30">
        <f t="shared" si="2"/>
        <v>0</v>
      </c>
      <c r="K28" s="30">
        <f t="shared" si="3"/>
        <v>0</v>
      </c>
    </row>
    <row r="29" spans="1:25" ht="12" customHeight="1">
      <c r="A29" s="33">
        <v>46024</v>
      </c>
      <c r="B29" s="30">
        <v>1</v>
      </c>
      <c r="E29"/>
      <c r="G29" s="31"/>
    </row>
    <row r="30" spans="1:25" ht="12" customHeight="1">
      <c r="A30" s="33">
        <v>46025</v>
      </c>
      <c r="B30" s="30">
        <v>1</v>
      </c>
      <c r="E30"/>
      <c r="G30" s="31"/>
    </row>
    <row r="31" spans="1:25" ht="12" customHeight="1">
      <c r="A31" s="33">
        <v>46026</v>
      </c>
      <c r="B31" s="30">
        <v>1</v>
      </c>
      <c r="E31" s="30"/>
      <c r="G31" s="31"/>
      <c r="N31" s="30"/>
    </row>
    <row r="32" spans="1:25" ht="12" customHeight="1">
      <c r="A32" s="33">
        <v>46027</v>
      </c>
      <c r="B32" s="30">
        <v>1</v>
      </c>
      <c r="E32" s="30"/>
      <c r="G32" s="31"/>
      <c r="N32" s="30"/>
    </row>
    <row r="33" spans="1:14" ht="12" customHeight="1">
      <c r="A33" s="33">
        <v>46028</v>
      </c>
      <c r="B33" s="30">
        <v>1</v>
      </c>
      <c r="E33" s="30"/>
      <c r="G33" s="31"/>
    </row>
    <row r="34" spans="1:14" ht="12" customHeight="1">
      <c r="A34" s="33">
        <v>46029</v>
      </c>
      <c r="B34" s="30">
        <v>1</v>
      </c>
      <c r="E34" s="30"/>
      <c r="G34" s="31"/>
    </row>
    <row r="35" spans="1:14" ht="12" customHeight="1">
      <c r="A35" s="33">
        <v>46030</v>
      </c>
      <c r="B35" s="30">
        <v>2</v>
      </c>
      <c r="E35" s="30"/>
      <c r="G35" s="31"/>
      <c r="N35" s="30"/>
    </row>
    <row r="36" spans="1:14" ht="12" customHeight="1">
      <c r="A36" s="33">
        <v>46031</v>
      </c>
      <c r="B36" s="30">
        <v>2</v>
      </c>
      <c r="E36" s="30"/>
      <c r="G36" s="31"/>
      <c r="N36" s="30"/>
    </row>
    <row r="37" spans="1:14" ht="12" customHeight="1">
      <c r="A37" s="33">
        <v>46032</v>
      </c>
      <c r="B37" s="30">
        <v>2</v>
      </c>
      <c r="G37" s="31"/>
      <c r="N37" s="30"/>
    </row>
    <row r="38" spans="1:14" ht="12" customHeight="1">
      <c r="A38" s="33">
        <v>46033</v>
      </c>
      <c r="B38" s="30">
        <v>2</v>
      </c>
      <c r="G38" s="31"/>
      <c r="N38" s="30"/>
    </row>
    <row r="39" spans="1:14" ht="12" customHeight="1">
      <c r="A39" s="33">
        <v>46034</v>
      </c>
      <c r="B39" s="30">
        <v>2</v>
      </c>
      <c r="G39" s="31"/>
    </row>
    <row r="40" spans="1:14" ht="12" customHeight="1">
      <c r="A40" s="33">
        <v>46035</v>
      </c>
      <c r="B40" s="30">
        <v>2</v>
      </c>
      <c r="G40" s="31"/>
    </row>
    <row r="41" spans="1:14" ht="12" customHeight="1">
      <c r="A41" s="33">
        <v>46036</v>
      </c>
      <c r="B41" s="30">
        <v>2</v>
      </c>
      <c r="G41" s="31"/>
      <c r="M41" s="30"/>
    </row>
    <row r="42" spans="1:14" ht="12" customHeight="1">
      <c r="A42" s="33">
        <v>46037</v>
      </c>
      <c r="B42" s="30">
        <v>3</v>
      </c>
      <c r="G42" s="31"/>
      <c r="M42" s="30"/>
    </row>
    <row r="43" spans="1:14" ht="12" customHeight="1">
      <c r="A43" s="33">
        <v>46038</v>
      </c>
      <c r="B43" s="30">
        <v>3</v>
      </c>
      <c r="F43" s="31"/>
      <c r="G43" s="31"/>
    </row>
    <row r="44" spans="1:14" ht="12" customHeight="1">
      <c r="A44" s="33">
        <v>46039</v>
      </c>
      <c r="B44" s="30">
        <v>3</v>
      </c>
      <c r="F44" s="31"/>
      <c r="G44" s="31"/>
      <c r="N44" s="30"/>
    </row>
    <row r="45" spans="1:14" ht="12" customHeight="1">
      <c r="A45" s="33">
        <v>46040</v>
      </c>
      <c r="B45" s="30">
        <v>3</v>
      </c>
      <c r="F45" s="31"/>
      <c r="G45" s="31"/>
      <c r="N45" s="30"/>
    </row>
    <row r="46" spans="1:14" ht="12" customHeight="1">
      <c r="A46" s="33">
        <v>46041</v>
      </c>
      <c r="B46" s="30">
        <v>3</v>
      </c>
      <c r="F46" s="31"/>
      <c r="G46" s="31"/>
    </row>
    <row r="47" spans="1:14" ht="12" customHeight="1">
      <c r="A47" s="33">
        <v>46042</v>
      </c>
      <c r="B47" s="30">
        <v>3</v>
      </c>
      <c r="F47" s="31"/>
      <c r="G47" s="31"/>
    </row>
    <row r="48" spans="1:14" ht="12" customHeight="1">
      <c r="A48" s="33">
        <v>46043</v>
      </c>
      <c r="B48" s="30">
        <v>3</v>
      </c>
      <c r="G48" s="31"/>
    </row>
    <row r="49" spans="1:17" ht="12" customHeight="1">
      <c r="A49" s="33">
        <v>46044</v>
      </c>
      <c r="B49" s="30">
        <v>4</v>
      </c>
      <c r="G49" s="31"/>
    </row>
    <row r="50" spans="1:17" ht="12" customHeight="1">
      <c r="A50" s="33">
        <v>46045</v>
      </c>
      <c r="B50" s="30">
        <v>4</v>
      </c>
      <c r="G50" s="31"/>
    </row>
    <row r="51" spans="1:17" ht="12" customHeight="1">
      <c r="A51" s="33">
        <v>46046</v>
      </c>
      <c r="B51" s="30">
        <v>4</v>
      </c>
      <c r="G51" s="31"/>
    </row>
    <row r="52" spans="1:17" ht="12" customHeight="1">
      <c r="A52" s="33">
        <v>46047</v>
      </c>
      <c r="B52" s="30">
        <v>4</v>
      </c>
      <c r="G52" s="31"/>
    </row>
    <row r="53" spans="1:17" ht="12" customHeight="1">
      <c r="A53" s="33">
        <v>46048</v>
      </c>
      <c r="B53" s="30">
        <v>4</v>
      </c>
      <c r="G53" s="31"/>
    </row>
    <row r="54" spans="1:17" ht="12" customHeight="1">
      <c r="A54" s="33">
        <v>46049</v>
      </c>
      <c r="B54" s="30">
        <v>4</v>
      </c>
      <c r="G54" s="31"/>
    </row>
    <row r="55" spans="1:17" ht="12" customHeight="1">
      <c r="A55" s="33">
        <v>46050</v>
      </c>
      <c r="B55" s="30">
        <v>4</v>
      </c>
      <c r="G55" s="31"/>
      <c r="M55" s="30"/>
    </row>
    <row r="56" spans="1:17" ht="12" customHeight="1">
      <c r="A56" s="33">
        <v>46051</v>
      </c>
      <c r="B56" s="30">
        <v>5</v>
      </c>
      <c r="G56" s="31"/>
      <c r="M56" s="30"/>
    </row>
    <row r="57" spans="1:17" ht="12" customHeight="1">
      <c r="A57" s="33">
        <v>46052</v>
      </c>
      <c r="B57" s="30">
        <v>5</v>
      </c>
      <c r="G57" s="31"/>
      <c r="M57" s="30"/>
      <c r="N57" s="61"/>
      <c r="O57" s="61"/>
    </row>
    <row r="58" spans="1:17" ht="12" customHeight="1">
      <c r="A58" s="33">
        <v>46053</v>
      </c>
      <c r="B58" s="30">
        <v>5</v>
      </c>
      <c r="G58" s="31"/>
      <c r="M58" s="35"/>
      <c r="N58" s="61"/>
      <c r="O58" s="61"/>
      <c r="Q58" s="61"/>
    </row>
    <row r="59" spans="1:17" ht="12" customHeight="1">
      <c r="A59" s="33">
        <v>46054</v>
      </c>
      <c r="B59" s="30">
        <v>5</v>
      </c>
      <c r="G59" s="31"/>
      <c r="M59" s="61"/>
      <c r="N59" s="61"/>
      <c r="O59" s="61"/>
      <c r="Q59" s="61"/>
    </row>
    <row r="60" spans="1:17" ht="12" customHeight="1">
      <c r="A60" s="33">
        <v>46055</v>
      </c>
      <c r="B60" s="30">
        <v>5</v>
      </c>
      <c r="G60" s="31"/>
      <c r="M60" s="61"/>
      <c r="N60" s="61"/>
      <c r="O60" s="61"/>
      <c r="Q60" s="61"/>
    </row>
    <row r="61" spans="1:17" ht="12" customHeight="1">
      <c r="A61" s="33">
        <v>46056</v>
      </c>
      <c r="B61" s="30">
        <v>5</v>
      </c>
      <c r="M61" s="61"/>
      <c r="N61" s="61"/>
      <c r="O61" s="61"/>
      <c r="P61" s="61"/>
      <c r="Q61" s="61"/>
    </row>
    <row r="62" spans="1:17" ht="12" customHeight="1">
      <c r="A62" s="33">
        <v>46057</v>
      </c>
      <c r="B62" s="30">
        <v>5</v>
      </c>
      <c r="M62" s="61"/>
      <c r="N62" s="61"/>
      <c r="O62" s="61"/>
      <c r="P62" s="61"/>
      <c r="Q62" s="61"/>
    </row>
    <row r="63" spans="1:17" ht="12" customHeight="1">
      <c r="A63" s="33">
        <v>46058</v>
      </c>
      <c r="B63" s="30">
        <v>6</v>
      </c>
      <c r="M63" s="61"/>
      <c r="N63" s="61"/>
      <c r="O63" s="61"/>
      <c r="P63" s="61"/>
      <c r="Q63" s="61"/>
    </row>
    <row r="64" spans="1:17" ht="12" customHeight="1">
      <c r="A64" s="33">
        <v>46059</v>
      </c>
      <c r="B64" s="30">
        <v>6</v>
      </c>
      <c r="M64" s="61"/>
      <c r="N64" s="61"/>
      <c r="O64" s="61"/>
      <c r="P64" s="61"/>
      <c r="Q64" s="61"/>
    </row>
    <row r="65" spans="1:25" ht="12" customHeight="1">
      <c r="A65" s="33">
        <v>46060</v>
      </c>
      <c r="B65" s="30">
        <v>6</v>
      </c>
      <c r="G65" s="31"/>
      <c r="M65" s="61"/>
      <c r="N65" s="61"/>
      <c r="O65" s="61"/>
      <c r="P65" s="61"/>
      <c r="Q65" s="61"/>
    </row>
    <row r="66" spans="1:25" ht="12" customHeight="1">
      <c r="A66" s="33">
        <v>46061</v>
      </c>
      <c r="B66" s="30">
        <v>6</v>
      </c>
      <c r="G66" s="31"/>
      <c r="M66" s="61"/>
      <c r="N66" s="61"/>
      <c r="O66" s="61"/>
      <c r="P66" s="61"/>
      <c r="Q66" s="61"/>
    </row>
    <row r="67" spans="1:25" ht="12" customHeight="1">
      <c r="A67" s="33">
        <v>46062</v>
      </c>
      <c r="B67" s="30">
        <v>6</v>
      </c>
      <c r="G67" s="31"/>
      <c r="M67" s="61"/>
      <c r="N67" s="61"/>
      <c r="O67" s="61"/>
      <c r="P67" s="61"/>
      <c r="Q67" s="61"/>
    </row>
    <row r="68" spans="1:25" ht="12" customHeight="1">
      <c r="A68" s="33">
        <v>46063</v>
      </c>
      <c r="B68" s="30">
        <v>6</v>
      </c>
      <c r="G68" s="31"/>
      <c r="M68" s="61"/>
      <c r="P68" s="61"/>
      <c r="Q68" s="61"/>
    </row>
    <row r="69" spans="1:25" ht="12" customHeight="1">
      <c r="A69" s="33">
        <v>46064</v>
      </c>
      <c r="B69" s="30">
        <v>6</v>
      </c>
      <c r="G69" s="31"/>
      <c r="P69" s="61"/>
      <c r="R69" s="61"/>
      <c r="Y69" s="61"/>
    </row>
    <row r="70" spans="1:25" ht="12" customHeight="1">
      <c r="A70" s="33">
        <v>46065</v>
      </c>
      <c r="B70" s="30">
        <v>7</v>
      </c>
      <c r="G70" s="31"/>
      <c r="P70" s="61"/>
      <c r="R70" s="61"/>
      <c r="Y70" s="61"/>
    </row>
    <row r="71" spans="1:25" ht="12" customHeight="1">
      <c r="A71" s="33">
        <v>46066</v>
      </c>
      <c r="B71" s="30">
        <v>7</v>
      </c>
      <c r="G71" s="31"/>
      <c r="P71" s="61"/>
      <c r="R71" s="61"/>
      <c r="Y71" s="61"/>
    </row>
    <row r="72" spans="1:25" ht="12" customHeight="1">
      <c r="A72" s="33">
        <v>46067</v>
      </c>
      <c r="B72" s="30">
        <v>7</v>
      </c>
      <c r="G72" s="31"/>
      <c r="R72" s="61"/>
      <c r="Y72" s="61"/>
    </row>
    <row r="73" spans="1:25" ht="12" customHeight="1">
      <c r="A73" s="33">
        <v>46068</v>
      </c>
      <c r="B73" s="30">
        <v>7</v>
      </c>
      <c r="G73" s="31"/>
      <c r="R73" s="61"/>
      <c r="Y73" s="61"/>
    </row>
    <row r="74" spans="1:25" ht="12" customHeight="1">
      <c r="A74" s="33">
        <v>46069</v>
      </c>
      <c r="B74" s="30">
        <v>7</v>
      </c>
      <c r="G74" s="31"/>
      <c r="R74" s="61"/>
      <c r="Y74" s="61"/>
    </row>
    <row r="75" spans="1:25" ht="12" customHeight="1">
      <c r="A75" s="33">
        <v>46070</v>
      </c>
      <c r="B75" s="30">
        <v>7</v>
      </c>
      <c r="G75" s="31"/>
      <c r="R75" s="61"/>
      <c r="Y75" s="61"/>
    </row>
    <row r="76" spans="1:25" ht="12" customHeight="1">
      <c r="A76" s="33">
        <v>46071</v>
      </c>
      <c r="B76" s="30">
        <v>7</v>
      </c>
      <c r="G76" s="31"/>
      <c r="R76" s="61"/>
      <c r="Y76" s="61"/>
    </row>
    <row r="77" spans="1:25" ht="12" customHeight="1">
      <c r="A77" s="33">
        <v>46072</v>
      </c>
      <c r="B77" s="30">
        <v>8</v>
      </c>
      <c r="G77" s="31"/>
      <c r="R77" s="61"/>
      <c r="Y77" s="61"/>
    </row>
    <row r="78" spans="1:25" ht="12" customHeight="1">
      <c r="A78" s="33">
        <v>46073</v>
      </c>
      <c r="B78" s="30">
        <v>8</v>
      </c>
      <c r="G78" s="31"/>
      <c r="R78" s="61"/>
      <c r="Y78" s="61"/>
    </row>
    <row r="79" spans="1:25" ht="12" customHeight="1">
      <c r="A79" s="33">
        <v>46074</v>
      </c>
      <c r="B79" s="30">
        <v>8</v>
      </c>
      <c r="G79" s="31"/>
      <c r="R79" s="61"/>
      <c r="Y79" s="61"/>
    </row>
    <row r="80" spans="1:25" ht="12" customHeight="1">
      <c r="A80" s="33">
        <v>46075</v>
      </c>
      <c r="B80" s="30">
        <v>8</v>
      </c>
      <c r="C80" s="31"/>
      <c r="G80" s="31"/>
    </row>
    <row r="81" spans="1:7" ht="12" customHeight="1">
      <c r="A81" s="33">
        <v>46076</v>
      </c>
      <c r="B81" s="30">
        <v>8</v>
      </c>
      <c r="C81" s="31"/>
      <c r="G81" s="31"/>
    </row>
    <row r="82" spans="1:7" ht="12" customHeight="1">
      <c r="A82" s="33">
        <v>46077</v>
      </c>
      <c r="B82" s="30">
        <v>8</v>
      </c>
      <c r="C82" s="31"/>
      <c r="G82" s="31"/>
    </row>
    <row r="83" spans="1:7" ht="12" customHeight="1">
      <c r="A83" s="33">
        <v>46078</v>
      </c>
      <c r="B83" s="30">
        <v>8</v>
      </c>
      <c r="C83" s="31"/>
      <c r="G83" s="31"/>
    </row>
    <row r="84" spans="1:7" ht="12" customHeight="1">
      <c r="A84" s="33">
        <v>46079</v>
      </c>
      <c r="B84" s="30">
        <v>9</v>
      </c>
      <c r="C84" s="31"/>
      <c r="G84" s="31"/>
    </row>
    <row r="85" spans="1:7" ht="12" customHeight="1">
      <c r="A85" s="33">
        <v>46080</v>
      </c>
      <c r="B85" s="30">
        <v>9</v>
      </c>
      <c r="C85" s="31"/>
      <c r="G85" s="31"/>
    </row>
    <row r="86" spans="1:7" ht="12" customHeight="1">
      <c r="A86" s="33">
        <v>46081</v>
      </c>
      <c r="B86" s="30">
        <v>9</v>
      </c>
      <c r="C86" s="31"/>
      <c r="G86" s="31"/>
    </row>
    <row r="87" spans="1:7" ht="12" customHeight="1">
      <c r="A87" s="33">
        <v>46082</v>
      </c>
      <c r="B87" s="30">
        <v>9</v>
      </c>
      <c r="C87" s="31"/>
      <c r="G87" s="31"/>
    </row>
    <row r="88" spans="1:7" ht="12" customHeight="1">
      <c r="A88" s="33">
        <v>46083</v>
      </c>
      <c r="B88" s="30">
        <v>9</v>
      </c>
      <c r="C88" s="31"/>
      <c r="G88" s="31"/>
    </row>
    <row r="89" spans="1:7" ht="12" customHeight="1">
      <c r="A89" s="33">
        <v>46084</v>
      </c>
      <c r="B89" s="30">
        <v>9</v>
      </c>
      <c r="C89" s="31"/>
      <c r="G89" s="31"/>
    </row>
    <row r="90" spans="1:7" ht="12" customHeight="1">
      <c r="A90" s="33">
        <v>46085</v>
      </c>
      <c r="B90" s="30">
        <v>9</v>
      </c>
      <c r="C90" s="31"/>
      <c r="G90" s="31"/>
    </row>
    <row r="91" spans="1:7" ht="12" customHeight="1">
      <c r="A91" s="33">
        <v>46086</v>
      </c>
      <c r="B91" s="30">
        <v>10</v>
      </c>
      <c r="C91" s="31"/>
      <c r="G91" s="31"/>
    </row>
    <row r="92" spans="1:7" ht="12" customHeight="1">
      <c r="A92" s="33">
        <v>46087</v>
      </c>
      <c r="B92" s="30">
        <v>10</v>
      </c>
      <c r="C92" s="31"/>
      <c r="G92" s="31"/>
    </row>
    <row r="93" spans="1:7" ht="12" customHeight="1">
      <c r="A93" s="33">
        <v>46088</v>
      </c>
      <c r="B93" s="30">
        <v>10</v>
      </c>
      <c r="C93" s="31"/>
      <c r="G93" s="31"/>
    </row>
    <row r="94" spans="1:7" ht="12" customHeight="1">
      <c r="A94" s="33">
        <v>46089</v>
      </c>
      <c r="B94" s="30">
        <v>10</v>
      </c>
      <c r="C94" s="31"/>
      <c r="G94" s="31"/>
    </row>
    <row r="95" spans="1:7" ht="12" customHeight="1">
      <c r="A95" s="33">
        <v>46090</v>
      </c>
      <c r="B95" s="30">
        <v>10</v>
      </c>
      <c r="C95" s="31"/>
      <c r="G95" s="31"/>
    </row>
    <row r="96" spans="1:7" ht="12" customHeight="1">
      <c r="A96" s="33">
        <v>46091</v>
      </c>
      <c r="B96" s="30">
        <v>10</v>
      </c>
      <c r="C96" s="31"/>
      <c r="G96" s="31"/>
    </row>
    <row r="97" spans="1:7" ht="12" customHeight="1">
      <c r="A97" s="33">
        <v>46092</v>
      </c>
      <c r="B97" s="30">
        <v>10</v>
      </c>
      <c r="C97" s="31"/>
      <c r="G97" s="31"/>
    </row>
    <row r="98" spans="1:7" ht="12" customHeight="1">
      <c r="A98" s="33">
        <v>46093</v>
      </c>
      <c r="B98" s="30">
        <v>11</v>
      </c>
      <c r="C98" s="31"/>
      <c r="G98" s="31"/>
    </row>
    <row r="99" spans="1:7" ht="12" customHeight="1">
      <c r="A99" s="33">
        <v>46094</v>
      </c>
      <c r="B99" s="30">
        <v>11</v>
      </c>
      <c r="C99" s="31"/>
      <c r="G99" s="31"/>
    </row>
    <row r="100" spans="1:7" ht="12" customHeight="1">
      <c r="A100" s="33">
        <v>46095</v>
      </c>
      <c r="B100" s="30">
        <v>11</v>
      </c>
      <c r="C100" s="31"/>
      <c r="G100" s="31"/>
    </row>
    <row r="101" spans="1:7" ht="12" customHeight="1">
      <c r="A101" s="33">
        <v>46096</v>
      </c>
      <c r="B101" s="30">
        <v>11</v>
      </c>
      <c r="C101" s="31"/>
      <c r="G101" s="31"/>
    </row>
    <row r="102" spans="1:7" ht="12" customHeight="1">
      <c r="A102" s="33">
        <v>46097</v>
      </c>
      <c r="B102" s="30">
        <v>11</v>
      </c>
      <c r="C102" s="31"/>
      <c r="G102" s="31"/>
    </row>
    <row r="103" spans="1:7" ht="12" customHeight="1">
      <c r="A103" s="33">
        <v>46098</v>
      </c>
      <c r="B103" s="30">
        <v>11</v>
      </c>
      <c r="C103" s="31"/>
      <c r="G103" s="31"/>
    </row>
    <row r="104" spans="1:7" ht="12" customHeight="1">
      <c r="A104" s="33">
        <v>46099</v>
      </c>
      <c r="B104" s="30">
        <v>11</v>
      </c>
      <c r="C104" s="31"/>
      <c r="G104" s="31"/>
    </row>
    <row r="105" spans="1:7" ht="12" customHeight="1">
      <c r="A105" s="33">
        <v>46100</v>
      </c>
      <c r="B105" s="30">
        <v>12</v>
      </c>
      <c r="C105" s="31"/>
      <c r="G105" s="31"/>
    </row>
    <row r="106" spans="1:7" ht="12" customHeight="1">
      <c r="A106" s="33">
        <v>46101</v>
      </c>
      <c r="B106" s="30">
        <v>12</v>
      </c>
      <c r="C106" s="31"/>
      <c r="G106" s="31"/>
    </row>
    <row r="107" spans="1:7" ht="12" customHeight="1">
      <c r="A107" s="33">
        <v>46102</v>
      </c>
      <c r="B107" s="30">
        <v>12</v>
      </c>
      <c r="C107" s="31"/>
      <c r="G107" s="31"/>
    </row>
    <row r="108" spans="1:7" ht="12" customHeight="1">
      <c r="A108" s="33">
        <v>46103</v>
      </c>
      <c r="B108" s="30">
        <v>12</v>
      </c>
      <c r="C108" s="31"/>
      <c r="G108" s="31"/>
    </row>
    <row r="109" spans="1:7" ht="12" customHeight="1">
      <c r="A109" s="33">
        <v>46104</v>
      </c>
      <c r="B109" s="30">
        <v>12</v>
      </c>
      <c r="C109" s="31"/>
      <c r="G109" s="31"/>
    </row>
    <row r="110" spans="1:7" ht="12" customHeight="1">
      <c r="A110" s="33">
        <v>46105</v>
      </c>
      <c r="B110" s="30">
        <v>12</v>
      </c>
      <c r="C110" s="31"/>
      <c r="G110" s="31"/>
    </row>
    <row r="111" spans="1:7" ht="12" customHeight="1">
      <c r="A111" s="33">
        <v>46106</v>
      </c>
      <c r="B111" s="30">
        <v>12</v>
      </c>
      <c r="C111" s="31"/>
      <c r="G111" s="31"/>
    </row>
    <row r="112" spans="1:7" ht="12" customHeight="1">
      <c r="A112" s="33">
        <v>46107</v>
      </c>
      <c r="B112" s="30">
        <v>13</v>
      </c>
      <c r="C112" s="31"/>
      <c r="G112" s="31"/>
    </row>
    <row r="113" spans="1:7" ht="12" customHeight="1">
      <c r="A113" s="33">
        <v>46108</v>
      </c>
      <c r="B113" s="30">
        <v>13</v>
      </c>
      <c r="C113" s="31"/>
      <c r="G113" s="31"/>
    </row>
    <row r="114" spans="1:7" ht="12" customHeight="1">
      <c r="A114" s="33">
        <v>46109</v>
      </c>
      <c r="B114" s="30">
        <v>13</v>
      </c>
      <c r="C114" s="31"/>
      <c r="G114" s="31"/>
    </row>
    <row r="115" spans="1:7" ht="12" customHeight="1">
      <c r="A115" s="33">
        <v>46110</v>
      </c>
      <c r="B115" s="30">
        <v>13</v>
      </c>
      <c r="C115" s="31"/>
      <c r="G115" s="31"/>
    </row>
    <row r="116" spans="1:7" ht="12" customHeight="1">
      <c r="A116" s="33">
        <v>46111</v>
      </c>
      <c r="B116" s="30">
        <v>13</v>
      </c>
      <c r="C116" s="31"/>
      <c r="G116" s="31"/>
    </row>
    <row r="117" spans="1:7" ht="12" customHeight="1">
      <c r="A117" s="33">
        <v>46112</v>
      </c>
      <c r="B117" s="30">
        <v>13</v>
      </c>
      <c r="C117" s="31"/>
      <c r="G117" s="31"/>
    </row>
    <row r="118" spans="1:7" ht="12" customHeight="1">
      <c r="A118" s="33">
        <v>46113</v>
      </c>
      <c r="B118" s="30">
        <v>13</v>
      </c>
      <c r="C118" s="31"/>
      <c r="G118" s="31"/>
    </row>
    <row r="119" spans="1:7" ht="12" customHeight="1">
      <c r="A119" s="33">
        <v>46114</v>
      </c>
      <c r="B119" s="30">
        <v>14</v>
      </c>
      <c r="C119" s="31"/>
      <c r="G119" s="31"/>
    </row>
    <row r="120" spans="1:7" ht="12" customHeight="1">
      <c r="A120" s="33">
        <v>46115</v>
      </c>
      <c r="B120" s="30">
        <v>14</v>
      </c>
      <c r="C120" s="31"/>
      <c r="G120" s="31"/>
    </row>
    <row r="121" spans="1:7" ht="12" customHeight="1">
      <c r="A121" s="33">
        <v>46116</v>
      </c>
      <c r="B121" s="30">
        <v>14</v>
      </c>
      <c r="C121" s="31"/>
      <c r="G121" s="31"/>
    </row>
    <row r="122" spans="1:7" ht="12" customHeight="1">
      <c r="A122" s="33">
        <v>46117</v>
      </c>
      <c r="B122" s="30">
        <v>14</v>
      </c>
      <c r="C122" s="31"/>
      <c r="G122" s="31"/>
    </row>
    <row r="123" spans="1:7" ht="12" customHeight="1">
      <c r="A123" s="33">
        <v>46118</v>
      </c>
      <c r="B123" s="30">
        <v>14</v>
      </c>
      <c r="C123" s="31"/>
      <c r="G123" s="31"/>
    </row>
    <row r="124" spans="1:7" ht="12" customHeight="1">
      <c r="A124" s="33">
        <v>46119</v>
      </c>
      <c r="B124" s="30">
        <v>14</v>
      </c>
      <c r="C124" s="31"/>
      <c r="G124" s="31"/>
    </row>
    <row r="125" spans="1:7" ht="12" customHeight="1">
      <c r="A125" s="33">
        <v>46120</v>
      </c>
      <c r="B125" s="30">
        <v>14</v>
      </c>
      <c r="C125" s="31"/>
      <c r="G125" s="31"/>
    </row>
    <row r="126" spans="1:7" ht="12" customHeight="1">
      <c r="A126" s="33">
        <v>46121</v>
      </c>
      <c r="B126" s="30">
        <v>15</v>
      </c>
      <c r="C126" s="31"/>
      <c r="G126" s="31"/>
    </row>
    <row r="127" spans="1:7" ht="12" customHeight="1">
      <c r="A127" s="33">
        <v>46122</v>
      </c>
      <c r="B127" s="30">
        <v>15</v>
      </c>
      <c r="C127" s="31"/>
      <c r="G127" s="31"/>
    </row>
    <row r="128" spans="1:7" ht="12" customHeight="1">
      <c r="A128" s="33">
        <v>46123</v>
      </c>
      <c r="B128" s="30">
        <v>15</v>
      </c>
      <c r="C128" s="31"/>
      <c r="G128" s="31"/>
    </row>
    <row r="129" spans="1:7" ht="12" customHeight="1">
      <c r="A129" s="33">
        <v>46124</v>
      </c>
      <c r="B129" s="30">
        <v>15</v>
      </c>
      <c r="C129" s="31"/>
      <c r="G129" s="31"/>
    </row>
    <row r="130" spans="1:7" ht="12" customHeight="1">
      <c r="A130" s="33">
        <v>46125</v>
      </c>
      <c r="B130" s="30">
        <v>15</v>
      </c>
      <c r="C130" s="31"/>
      <c r="G130" s="31"/>
    </row>
    <row r="131" spans="1:7" ht="12" customHeight="1">
      <c r="A131" s="33">
        <v>46126</v>
      </c>
      <c r="B131" s="30">
        <v>15</v>
      </c>
      <c r="C131" s="31"/>
      <c r="G131" s="31"/>
    </row>
    <row r="132" spans="1:7" ht="12" customHeight="1">
      <c r="A132" s="33">
        <v>46127</v>
      </c>
      <c r="B132" s="30">
        <v>15</v>
      </c>
      <c r="C132" s="31"/>
      <c r="G132" s="31"/>
    </row>
    <row r="133" spans="1:7" ht="12" customHeight="1">
      <c r="A133" s="33">
        <v>46128</v>
      </c>
      <c r="B133" s="30">
        <v>16</v>
      </c>
      <c r="C133" s="31"/>
      <c r="G133" s="31"/>
    </row>
    <row r="134" spans="1:7" ht="12" customHeight="1">
      <c r="A134" s="33">
        <v>46129</v>
      </c>
      <c r="B134" s="30">
        <v>16</v>
      </c>
      <c r="C134" s="31"/>
      <c r="G134" s="31"/>
    </row>
    <row r="135" spans="1:7" ht="12" customHeight="1">
      <c r="A135" s="33">
        <v>46130</v>
      </c>
      <c r="B135" s="30">
        <v>16</v>
      </c>
      <c r="C135" s="31"/>
      <c r="G135" s="31"/>
    </row>
    <row r="136" spans="1:7" ht="12" customHeight="1">
      <c r="A136" s="33">
        <v>46131</v>
      </c>
      <c r="B136" s="30">
        <v>16</v>
      </c>
      <c r="C136" s="31"/>
      <c r="G136" s="31"/>
    </row>
    <row r="137" spans="1:7" ht="12" customHeight="1">
      <c r="A137" s="33">
        <v>46132</v>
      </c>
      <c r="B137" s="30">
        <v>16</v>
      </c>
      <c r="C137" s="31"/>
      <c r="G137" s="31"/>
    </row>
    <row r="138" spans="1:7" ht="12" customHeight="1">
      <c r="A138" s="33">
        <v>46133</v>
      </c>
      <c r="B138" s="30">
        <v>16</v>
      </c>
      <c r="C138" s="31"/>
      <c r="G138" s="31"/>
    </row>
    <row r="139" spans="1:7" ht="12" customHeight="1">
      <c r="A139" s="33">
        <v>46134</v>
      </c>
      <c r="B139" s="30">
        <v>16</v>
      </c>
      <c r="C139" s="31"/>
      <c r="G139" s="31"/>
    </row>
    <row r="140" spans="1:7" ht="12" customHeight="1">
      <c r="A140" s="33">
        <v>46135</v>
      </c>
      <c r="B140" s="30">
        <v>17</v>
      </c>
      <c r="C140" s="31"/>
      <c r="G140" s="31"/>
    </row>
    <row r="141" spans="1:7" ht="12" customHeight="1">
      <c r="A141" s="33">
        <v>46136</v>
      </c>
      <c r="B141" s="30">
        <v>17</v>
      </c>
      <c r="C141" s="31"/>
      <c r="G141" s="31"/>
    </row>
    <row r="142" spans="1:7" ht="12" customHeight="1">
      <c r="A142" s="33">
        <v>46137</v>
      </c>
      <c r="B142" s="30">
        <v>17</v>
      </c>
      <c r="C142" s="31"/>
      <c r="G142" s="31"/>
    </row>
    <row r="143" spans="1:7" ht="12" customHeight="1">
      <c r="A143" s="33">
        <v>46138</v>
      </c>
      <c r="B143" s="30">
        <v>17</v>
      </c>
      <c r="C143" s="31"/>
      <c r="G143" s="31"/>
    </row>
    <row r="144" spans="1:7" ht="12" customHeight="1">
      <c r="A144" s="33">
        <v>46139</v>
      </c>
      <c r="B144" s="30">
        <v>17</v>
      </c>
      <c r="C144" s="31"/>
      <c r="G144" s="31"/>
    </row>
    <row r="145" spans="1:7" ht="12" customHeight="1">
      <c r="A145" s="33">
        <v>46140</v>
      </c>
      <c r="B145" s="30">
        <v>17</v>
      </c>
      <c r="C145" s="31"/>
      <c r="G145" s="31"/>
    </row>
    <row r="146" spans="1:7" ht="12" customHeight="1">
      <c r="A146" s="33">
        <v>46141</v>
      </c>
      <c r="B146" s="30">
        <v>17</v>
      </c>
      <c r="C146" s="31"/>
      <c r="G146" s="31"/>
    </row>
    <row r="147" spans="1:7" ht="12" customHeight="1">
      <c r="A147" s="33">
        <v>46142</v>
      </c>
      <c r="B147" s="30">
        <v>18</v>
      </c>
      <c r="C147" s="31"/>
      <c r="G147" s="31"/>
    </row>
    <row r="148" spans="1:7" ht="12" customHeight="1">
      <c r="A148" s="33">
        <v>46143</v>
      </c>
      <c r="B148" s="30">
        <v>18</v>
      </c>
      <c r="C148" s="31"/>
      <c r="G148" s="31"/>
    </row>
    <row r="149" spans="1:7" ht="12" customHeight="1">
      <c r="A149" s="33">
        <v>46144</v>
      </c>
      <c r="B149" s="30">
        <v>18</v>
      </c>
      <c r="C149" s="31"/>
      <c r="G149" s="31"/>
    </row>
    <row r="150" spans="1:7" ht="12" customHeight="1">
      <c r="A150" s="33">
        <v>46145</v>
      </c>
      <c r="B150" s="30">
        <v>18</v>
      </c>
      <c r="C150" s="31"/>
      <c r="G150" s="31"/>
    </row>
    <row r="151" spans="1:7" ht="12" customHeight="1">
      <c r="A151" s="33">
        <v>46146</v>
      </c>
      <c r="B151" s="30">
        <v>18</v>
      </c>
      <c r="C151" s="31"/>
      <c r="G151" s="31"/>
    </row>
    <row r="152" spans="1:7" ht="12" customHeight="1">
      <c r="A152" s="33">
        <v>46147</v>
      </c>
      <c r="B152" s="30">
        <v>18</v>
      </c>
      <c r="C152" s="31"/>
      <c r="G152" s="31"/>
    </row>
    <row r="153" spans="1:7" ht="12" customHeight="1">
      <c r="A153" s="33">
        <v>46148</v>
      </c>
      <c r="B153" s="30">
        <v>18</v>
      </c>
      <c r="C153" s="31"/>
      <c r="G153" s="31"/>
    </row>
    <row r="154" spans="1:7" ht="12" customHeight="1">
      <c r="A154" s="33">
        <v>46149</v>
      </c>
      <c r="B154" s="30">
        <v>19</v>
      </c>
      <c r="C154" s="31"/>
      <c r="G154" s="31"/>
    </row>
    <row r="155" spans="1:7" ht="12" customHeight="1">
      <c r="A155" s="33">
        <v>46150</v>
      </c>
      <c r="B155" s="30">
        <v>19</v>
      </c>
      <c r="C155" s="31"/>
      <c r="G155" s="31"/>
    </row>
    <row r="156" spans="1:7" ht="12" customHeight="1">
      <c r="A156" s="33">
        <v>46151</v>
      </c>
      <c r="B156" s="30">
        <v>19</v>
      </c>
      <c r="C156" s="31"/>
      <c r="G156" s="31"/>
    </row>
    <row r="157" spans="1:7" ht="12" customHeight="1">
      <c r="A157" s="33">
        <v>46152</v>
      </c>
      <c r="B157" s="30">
        <v>19</v>
      </c>
      <c r="C157" s="31"/>
      <c r="G157" s="31"/>
    </row>
    <row r="158" spans="1:7" ht="12" customHeight="1">
      <c r="A158" s="33">
        <v>46153</v>
      </c>
      <c r="B158" s="30">
        <v>19</v>
      </c>
      <c r="C158" s="31"/>
      <c r="G158" s="31"/>
    </row>
    <row r="159" spans="1:7" ht="12" customHeight="1">
      <c r="A159" s="33">
        <v>46154</v>
      </c>
      <c r="B159" s="30">
        <v>19</v>
      </c>
      <c r="C159" s="31"/>
      <c r="G159" s="31"/>
    </row>
    <row r="160" spans="1:7" ht="12" customHeight="1">
      <c r="A160" s="33">
        <v>46155</v>
      </c>
      <c r="B160" s="30">
        <v>19</v>
      </c>
      <c r="C160" s="31"/>
      <c r="G160" s="31"/>
    </row>
    <row r="161" spans="1:7" ht="12" customHeight="1">
      <c r="A161" s="33">
        <v>46156</v>
      </c>
      <c r="B161" s="30">
        <v>20</v>
      </c>
      <c r="C161" s="31"/>
      <c r="G161" s="31"/>
    </row>
    <row r="162" spans="1:7" ht="12" customHeight="1">
      <c r="A162" s="33">
        <v>46157</v>
      </c>
      <c r="B162" s="30">
        <v>20</v>
      </c>
      <c r="C162" s="31"/>
      <c r="G162" s="31"/>
    </row>
    <row r="163" spans="1:7" ht="12" customHeight="1">
      <c r="A163" s="33">
        <v>46158</v>
      </c>
      <c r="B163" s="30">
        <v>20</v>
      </c>
      <c r="C163" s="31"/>
      <c r="G163" s="31"/>
    </row>
    <row r="164" spans="1:7" ht="12" customHeight="1">
      <c r="A164" s="33">
        <v>46159</v>
      </c>
      <c r="B164" s="30">
        <v>20</v>
      </c>
      <c r="C164" s="31"/>
      <c r="G164" s="31"/>
    </row>
    <row r="165" spans="1:7" ht="12" customHeight="1">
      <c r="A165" s="33">
        <v>46160</v>
      </c>
      <c r="B165" s="30">
        <v>20</v>
      </c>
      <c r="C165" s="31"/>
      <c r="G165" s="31"/>
    </row>
    <row r="166" spans="1:7" ht="12" customHeight="1">
      <c r="A166" s="33">
        <v>46161</v>
      </c>
      <c r="B166" s="30">
        <v>20</v>
      </c>
      <c r="C166" s="31"/>
      <c r="G166" s="31"/>
    </row>
    <row r="167" spans="1:7" ht="12" customHeight="1">
      <c r="A167" s="33">
        <v>46162</v>
      </c>
      <c r="B167" s="30">
        <v>20</v>
      </c>
      <c r="C167" s="31"/>
      <c r="G167" s="31"/>
    </row>
    <row r="168" spans="1:7" ht="12" customHeight="1">
      <c r="A168" s="33">
        <v>46163</v>
      </c>
      <c r="B168" s="30">
        <v>21</v>
      </c>
      <c r="C168" s="31"/>
      <c r="G168" s="31"/>
    </row>
    <row r="169" spans="1:7" ht="12" customHeight="1">
      <c r="A169" s="33">
        <v>46164</v>
      </c>
      <c r="B169" s="30">
        <v>21</v>
      </c>
      <c r="C169" s="31"/>
      <c r="G169" s="31"/>
    </row>
    <row r="170" spans="1:7" ht="12" customHeight="1">
      <c r="A170" s="33">
        <v>46165</v>
      </c>
      <c r="B170" s="30">
        <v>21</v>
      </c>
      <c r="C170" s="31"/>
      <c r="G170" s="31"/>
    </row>
    <row r="171" spans="1:7" ht="12" customHeight="1">
      <c r="A171" s="33">
        <v>46166</v>
      </c>
      <c r="B171" s="30">
        <v>21</v>
      </c>
      <c r="C171" s="31"/>
      <c r="G171" s="31"/>
    </row>
    <row r="172" spans="1:7" ht="12" customHeight="1">
      <c r="A172" s="33">
        <v>46167</v>
      </c>
      <c r="B172" s="30">
        <v>21</v>
      </c>
      <c r="C172" s="31"/>
      <c r="G172" s="31"/>
    </row>
    <row r="173" spans="1:7" ht="12" customHeight="1">
      <c r="A173" s="33">
        <v>46168</v>
      </c>
      <c r="B173" s="30">
        <v>21</v>
      </c>
      <c r="C173" s="31"/>
      <c r="G173" s="31"/>
    </row>
    <row r="174" spans="1:7" ht="12" customHeight="1">
      <c r="A174" s="33">
        <v>46169</v>
      </c>
      <c r="B174" s="30">
        <v>21</v>
      </c>
      <c r="C174" s="31"/>
      <c r="G174" s="31"/>
    </row>
    <row r="175" spans="1:7" ht="12" customHeight="1">
      <c r="A175" s="33">
        <v>46170</v>
      </c>
      <c r="B175" s="30">
        <v>22</v>
      </c>
      <c r="C175" s="31"/>
      <c r="G175" s="31"/>
    </row>
    <row r="176" spans="1:7" ht="12" customHeight="1">
      <c r="A176" s="33">
        <v>46171</v>
      </c>
      <c r="B176" s="30">
        <v>22</v>
      </c>
      <c r="C176" s="31"/>
      <c r="G176" s="31"/>
    </row>
    <row r="177" spans="1:7" ht="12" customHeight="1">
      <c r="A177" s="33">
        <v>46172</v>
      </c>
      <c r="B177" s="30">
        <v>22</v>
      </c>
      <c r="C177" s="31"/>
      <c r="G177" s="31"/>
    </row>
    <row r="178" spans="1:7" ht="12" customHeight="1">
      <c r="A178" s="33">
        <v>46173</v>
      </c>
      <c r="B178" s="30">
        <v>22</v>
      </c>
      <c r="C178" s="31"/>
      <c r="G178" s="31"/>
    </row>
    <row r="179" spans="1:7" ht="12" customHeight="1">
      <c r="A179" s="33">
        <v>46174</v>
      </c>
      <c r="B179" s="30">
        <v>22</v>
      </c>
      <c r="C179" s="31"/>
      <c r="G179" s="31"/>
    </row>
    <row r="180" spans="1:7" ht="12" customHeight="1">
      <c r="A180" s="33">
        <v>46175</v>
      </c>
      <c r="B180" s="30">
        <v>22</v>
      </c>
      <c r="C180" s="31"/>
      <c r="G180" s="31"/>
    </row>
    <row r="181" spans="1:7" ht="12" customHeight="1">
      <c r="A181" s="33">
        <v>46176</v>
      </c>
      <c r="B181" s="30">
        <v>22</v>
      </c>
      <c r="C181" s="31"/>
      <c r="G181" s="31"/>
    </row>
    <row r="182" spans="1:7" ht="12" customHeight="1">
      <c r="A182" s="33">
        <v>46177</v>
      </c>
      <c r="B182" s="30">
        <v>23</v>
      </c>
      <c r="C182" s="31"/>
      <c r="G182" s="31"/>
    </row>
    <row r="183" spans="1:7" ht="12" customHeight="1">
      <c r="A183" s="33">
        <v>46178</v>
      </c>
      <c r="B183" s="30">
        <v>23</v>
      </c>
      <c r="C183" s="31"/>
      <c r="G183" s="31"/>
    </row>
    <row r="184" spans="1:7" ht="12" customHeight="1">
      <c r="A184" s="33">
        <v>46179</v>
      </c>
      <c r="B184" s="30">
        <v>23</v>
      </c>
      <c r="C184" s="31"/>
      <c r="G184" s="31"/>
    </row>
    <row r="185" spans="1:7" ht="12" customHeight="1">
      <c r="A185" s="33">
        <v>46180</v>
      </c>
      <c r="B185" s="30">
        <v>23</v>
      </c>
      <c r="C185" s="31"/>
      <c r="G185" s="31"/>
    </row>
    <row r="186" spans="1:7" ht="12" customHeight="1">
      <c r="A186" s="33">
        <v>46181</v>
      </c>
      <c r="B186" s="30">
        <v>23</v>
      </c>
      <c r="C186" s="31"/>
      <c r="G186" s="31"/>
    </row>
    <row r="187" spans="1:7" ht="12" customHeight="1">
      <c r="A187" s="33">
        <v>46182</v>
      </c>
      <c r="B187" s="30">
        <v>23</v>
      </c>
      <c r="C187" s="31"/>
      <c r="G187" s="31"/>
    </row>
    <row r="188" spans="1:7" ht="12" customHeight="1">
      <c r="A188" s="33">
        <v>46183</v>
      </c>
      <c r="B188" s="30">
        <v>23</v>
      </c>
      <c r="C188" s="31"/>
      <c r="G188" s="31"/>
    </row>
    <row r="189" spans="1:7" ht="12" customHeight="1">
      <c r="A189" s="33">
        <v>46184</v>
      </c>
      <c r="B189" s="30">
        <v>24</v>
      </c>
      <c r="C189" s="31"/>
      <c r="G189" s="31"/>
    </row>
    <row r="190" spans="1:7" ht="12" customHeight="1">
      <c r="A190" s="33">
        <v>46185</v>
      </c>
      <c r="B190" s="30">
        <v>24</v>
      </c>
      <c r="C190" s="31"/>
      <c r="G190" s="31"/>
    </row>
    <row r="191" spans="1:7" ht="12" customHeight="1">
      <c r="A191" s="33">
        <v>46186</v>
      </c>
      <c r="B191" s="30">
        <v>24</v>
      </c>
      <c r="C191" s="31"/>
      <c r="G191" s="31"/>
    </row>
    <row r="192" spans="1:7" ht="12" customHeight="1">
      <c r="A192" s="33">
        <v>46187</v>
      </c>
      <c r="B192" s="30">
        <v>24</v>
      </c>
      <c r="C192" s="31"/>
      <c r="G192" s="31"/>
    </row>
    <row r="193" spans="1:7" ht="12" customHeight="1">
      <c r="A193" s="33">
        <v>46188</v>
      </c>
      <c r="B193" s="30">
        <v>24</v>
      </c>
      <c r="C193" s="31"/>
      <c r="G193" s="31"/>
    </row>
    <row r="194" spans="1:7" ht="12" customHeight="1">
      <c r="A194" s="33">
        <v>46189</v>
      </c>
      <c r="B194" s="30">
        <v>24</v>
      </c>
      <c r="C194" s="31"/>
      <c r="G194" s="31"/>
    </row>
    <row r="195" spans="1:7" ht="12" customHeight="1">
      <c r="A195" s="33">
        <v>46190</v>
      </c>
      <c r="B195" s="30">
        <v>24</v>
      </c>
      <c r="C195" s="31"/>
      <c r="G195" s="31"/>
    </row>
    <row r="196" spans="1:7" ht="12" customHeight="1">
      <c r="A196" s="33">
        <v>46191</v>
      </c>
      <c r="B196" s="30">
        <v>25</v>
      </c>
      <c r="C196" s="31"/>
      <c r="G196" s="31"/>
    </row>
    <row r="197" spans="1:7" ht="12" customHeight="1">
      <c r="A197" s="33">
        <v>46192</v>
      </c>
      <c r="B197" s="30">
        <v>25</v>
      </c>
      <c r="C197" s="31"/>
      <c r="G197" s="31"/>
    </row>
    <row r="198" spans="1:7" ht="12" customHeight="1">
      <c r="A198" s="33">
        <v>46193</v>
      </c>
      <c r="B198" s="30">
        <v>25</v>
      </c>
      <c r="C198" s="31"/>
      <c r="G198" s="31"/>
    </row>
    <row r="199" spans="1:7" ht="12" customHeight="1">
      <c r="A199" s="33">
        <v>46194</v>
      </c>
      <c r="B199" s="30">
        <v>25</v>
      </c>
      <c r="C199" s="31"/>
      <c r="G199" s="31"/>
    </row>
    <row r="200" spans="1:7" ht="12" customHeight="1">
      <c r="A200" s="33">
        <v>46195</v>
      </c>
      <c r="B200" s="30">
        <v>25</v>
      </c>
      <c r="C200" s="31"/>
      <c r="G200" s="31"/>
    </row>
    <row r="201" spans="1:7" ht="12" customHeight="1">
      <c r="A201" s="33">
        <v>46196</v>
      </c>
      <c r="B201" s="30">
        <v>25</v>
      </c>
      <c r="C201" s="31"/>
      <c r="G201" s="31"/>
    </row>
    <row r="202" spans="1:7" ht="12" customHeight="1">
      <c r="A202" s="33">
        <v>46197</v>
      </c>
      <c r="B202" s="30">
        <v>25</v>
      </c>
      <c r="C202" s="31"/>
      <c r="G202" s="31"/>
    </row>
    <row r="203" spans="1:7" ht="12" customHeight="1">
      <c r="A203" s="33">
        <v>46198</v>
      </c>
      <c r="B203" s="30">
        <v>26</v>
      </c>
      <c r="C203" s="31"/>
      <c r="G203" s="31"/>
    </row>
    <row r="204" spans="1:7" ht="12" customHeight="1">
      <c r="A204" s="33">
        <v>46199</v>
      </c>
      <c r="B204" s="30">
        <v>26</v>
      </c>
      <c r="G204" s="31"/>
    </row>
    <row r="205" spans="1:7" ht="12" customHeight="1">
      <c r="A205" s="33">
        <v>46200</v>
      </c>
      <c r="B205" s="30">
        <v>26</v>
      </c>
      <c r="G205" s="31"/>
    </row>
    <row r="206" spans="1:7" ht="12" customHeight="1">
      <c r="A206" s="33">
        <v>46201</v>
      </c>
      <c r="B206" s="30">
        <v>26</v>
      </c>
      <c r="G206" s="31"/>
    </row>
    <row r="207" spans="1:7" ht="12" customHeight="1">
      <c r="A207" s="33">
        <v>46202</v>
      </c>
      <c r="B207" s="30">
        <v>26</v>
      </c>
      <c r="G207" s="31"/>
    </row>
    <row r="208" spans="1:7" ht="12" customHeight="1">
      <c r="A208" s="33">
        <v>46203</v>
      </c>
      <c r="B208" s="30">
        <v>26</v>
      </c>
      <c r="G208" s="31"/>
    </row>
    <row r="209" spans="1:7" ht="12" customHeight="1">
      <c r="A209" s="33">
        <v>46204</v>
      </c>
      <c r="B209" s="30">
        <v>26</v>
      </c>
      <c r="G209" s="31"/>
    </row>
    <row r="210" spans="1:7" ht="12" customHeight="1">
      <c r="A210" s="33">
        <v>46205</v>
      </c>
      <c r="B210" s="30">
        <v>27</v>
      </c>
      <c r="G210" s="31"/>
    </row>
    <row r="211" spans="1:7" ht="12" customHeight="1">
      <c r="A211" s="33">
        <v>46206</v>
      </c>
      <c r="B211" s="30">
        <v>27</v>
      </c>
      <c r="G211" s="31"/>
    </row>
    <row r="212" spans="1:7" ht="12" customHeight="1">
      <c r="A212" s="33">
        <v>46207</v>
      </c>
      <c r="B212" s="30">
        <v>27</v>
      </c>
      <c r="G212" s="31"/>
    </row>
    <row r="213" spans="1:7" ht="12" customHeight="1">
      <c r="A213" s="33">
        <v>46208</v>
      </c>
      <c r="B213" s="30">
        <v>27</v>
      </c>
      <c r="G213" s="31"/>
    </row>
    <row r="214" spans="1:7" ht="12" customHeight="1">
      <c r="A214" s="33">
        <v>46209</v>
      </c>
      <c r="B214" s="30">
        <v>27</v>
      </c>
      <c r="G214" s="31"/>
    </row>
    <row r="215" spans="1:7" ht="12" customHeight="1">
      <c r="A215" s="33">
        <v>46210</v>
      </c>
      <c r="B215" s="30">
        <v>27</v>
      </c>
      <c r="G215" s="31"/>
    </row>
    <row r="216" spans="1:7" ht="12" customHeight="1">
      <c r="A216" s="33">
        <v>46211</v>
      </c>
      <c r="B216" s="30">
        <v>27</v>
      </c>
      <c r="G216" s="31"/>
    </row>
    <row r="217" spans="1:7" ht="12" customHeight="1">
      <c r="A217" s="33">
        <v>46212</v>
      </c>
      <c r="B217" s="30">
        <v>28</v>
      </c>
      <c r="G217" s="31"/>
    </row>
    <row r="218" spans="1:7" ht="12" customHeight="1">
      <c r="A218" s="33">
        <v>46213</v>
      </c>
      <c r="B218" s="30">
        <v>28</v>
      </c>
      <c r="G218" s="31"/>
    </row>
    <row r="219" spans="1:7" ht="12" customHeight="1">
      <c r="A219" s="33">
        <v>46214</v>
      </c>
      <c r="B219" s="30">
        <v>28</v>
      </c>
      <c r="G219" s="31"/>
    </row>
    <row r="220" spans="1:7" ht="12" customHeight="1">
      <c r="A220" s="33">
        <v>46215</v>
      </c>
      <c r="B220" s="30">
        <v>28</v>
      </c>
      <c r="G220" s="31"/>
    </row>
    <row r="221" spans="1:7" ht="12" customHeight="1">
      <c r="A221" s="33">
        <v>46216</v>
      </c>
      <c r="B221" s="30">
        <v>28</v>
      </c>
      <c r="G221" s="31"/>
    </row>
    <row r="222" spans="1:7" ht="12" customHeight="1">
      <c r="A222" s="33">
        <v>46217</v>
      </c>
      <c r="B222" s="30">
        <v>28</v>
      </c>
      <c r="G222" s="31"/>
    </row>
    <row r="223" spans="1:7" ht="12" customHeight="1">
      <c r="A223" s="33">
        <v>46218</v>
      </c>
      <c r="B223" s="30">
        <v>28</v>
      </c>
      <c r="G223" s="31"/>
    </row>
    <row r="224" spans="1:7" ht="12" customHeight="1">
      <c r="A224" s="33">
        <v>46219</v>
      </c>
      <c r="B224" s="30">
        <v>29</v>
      </c>
      <c r="F224" s="31"/>
      <c r="G224" s="31"/>
    </row>
    <row r="225" spans="1:7" ht="12" customHeight="1">
      <c r="A225" s="33">
        <v>46220</v>
      </c>
      <c r="B225" s="30">
        <v>29</v>
      </c>
      <c r="F225" s="31"/>
      <c r="G225" s="31"/>
    </row>
    <row r="226" spans="1:7" ht="12" customHeight="1">
      <c r="A226" s="33">
        <v>46221</v>
      </c>
      <c r="B226" s="30">
        <v>29</v>
      </c>
      <c r="F226" s="31"/>
      <c r="G226" s="31"/>
    </row>
    <row r="227" spans="1:7" ht="12" customHeight="1">
      <c r="A227" s="33">
        <v>46222</v>
      </c>
      <c r="B227" s="30">
        <v>29</v>
      </c>
      <c r="F227" s="31"/>
      <c r="G227" s="31"/>
    </row>
    <row r="228" spans="1:7" ht="12" customHeight="1">
      <c r="A228" s="33">
        <v>46223</v>
      </c>
      <c r="B228" s="30">
        <v>29</v>
      </c>
      <c r="F228" s="31"/>
      <c r="G228" s="31"/>
    </row>
    <row r="229" spans="1:7" ht="12" customHeight="1">
      <c r="A229" s="33">
        <v>46224</v>
      </c>
      <c r="B229" s="30">
        <v>29</v>
      </c>
      <c r="F229" s="31"/>
      <c r="G229" s="31"/>
    </row>
    <row r="230" spans="1:7" ht="12" customHeight="1">
      <c r="A230" s="33">
        <v>46225</v>
      </c>
      <c r="B230" s="30">
        <v>29</v>
      </c>
      <c r="F230" s="31"/>
      <c r="G230" s="31"/>
    </row>
    <row r="231" spans="1:7" ht="12" customHeight="1">
      <c r="A231" s="33">
        <v>46226</v>
      </c>
      <c r="B231" s="30">
        <v>30</v>
      </c>
      <c r="F231" s="31"/>
      <c r="G231" s="31"/>
    </row>
    <row r="232" spans="1:7" ht="12" customHeight="1">
      <c r="A232" s="33">
        <v>46227</v>
      </c>
      <c r="B232" s="30">
        <v>30</v>
      </c>
      <c r="F232" s="31"/>
      <c r="G232" s="31"/>
    </row>
    <row r="233" spans="1:7" ht="12" customHeight="1">
      <c r="A233" s="33">
        <v>46228</v>
      </c>
      <c r="B233" s="30">
        <v>30</v>
      </c>
      <c r="F233" s="31"/>
      <c r="G233" s="31"/>
    </row>
    <row r="234" spans="1:7" ht="12" customHeight="1">
      <c r="A234" s="33">
        <v>46229</v>
      </c>
      <c r="B234" s="30">
        <v>30</v>
      </c>
      <c r="F234" s="31"/>
      <c r="G234" s="31"/>
    </row>
    <row r="235" spans="1:7" ht="12" customHeight="1">
      <c r="A235" s="33">
        <v>46230</v>
      </c>
      <c r="B235" s="30">
        <v>30</v>
      </c>
      <c r="F235" s="31"/>
      <c r="G235" s="31"/>
    </row>
    <row r="236" spans="1:7" ht="12" customHeight="1">
      <c r="A236" s="33">
        <v>46231</v>
      </c>
      <c r="B236" s="30">
        <v>30</v>
      </c>
      <c r="F236" s="31"/>
      <c r="G236" s="31"/>
    </row>
    <row r="237" spans="1:7" ht="12" customHeight="1">
      <c r="A237" s="33">
        <v>46232</v>
      </c>
      <c r="B237" s="30">
        <v>30</v>
      </c>
      <c r="F237" s="31"/>
      <c r="G237" s="31"/>
    </row>
    <row r="238" spans="1:7" ht="12" customHeight="1">
      <c r="A238" s="33">
        <v>46233</v>
      </c>
      <c r="B238" s="30">
        <v>31</v>
      </c>
      <c r="G238" s="31"/>
    </row>
    <row r="239" spans="1:7" ht="12" customHeight="1">
      <c r="A239" s="33">
        <v>46234</v>
      </c>
      <c r="B239" s="30">
        <v>31</v>
      </c>
      <c r="G239" s="31"/>
    </row>
    <row r="240" spans="1:7" ht="12" customHeight="1">
      <c r="A240" s="33">
        <v>46235</v>
      </c>
      <c r="B240" s="30">
        <v>31</v>
      </c>
      <c r="G240" s="31"/>
    </row>
    <row r="241" spans="1:7" ht="12" customHeight="1">
      <c r="A241" s="33">
        <v>46236</v>
      </c>
      <c r="B241" s="30">
        <v>31</v>
      </c>
      <c r="G241" s="31"/>
    </row>
    <row r="242" spans="1:7" ht="12" customHeight="1">
      <c r="A242" s="33">
        <v>46237</v>
      </c>
      <c r="B242" s="30">
        <v>31</v>
      </c>
      <c r="G242" s="31"/>
    </row>
    <row r="243" spans="1:7" ht="12" customHeight="1">
      <c r="A243" s="33">
        <v>46238</v>
      </c>
      <c r="B243" s="30">
        <v>31</v>
      </c>
    </row>
    <row r="244" spans="1:7" ht="12" customHeight="1">
      <c r="A244" s="33">
        <v>46239</v>
      </c>
      <c r="B244" s="30">
        <v>31</v>
      </c>
    </row>
    <row r="245" spans="1:7" ht="12" customHeight="1">
      <c r="A245" s="33">
        <v>46240</v>
      </c>
      <c r="B245" s="30">
        <v>32</v>
      </c>
    </row>
    <row r="246" spans="1:7" ht="12" customHeight="1">
      <c r="A246" s="33">
        <v>46241</v>
      </c>
      <c r="B246" s="30">
        <v>32</v>
      </c>
    </row>
    <row r="247" spans="1:7" ht="12" customHeight="1">
      <c r="A247" s="33">
        <v>46242</v>
      </c>
      <c r="B247" s="30">
        <v>32</v>
      </c>
    </row>
    <row r="248" spans="1:7" ht="12" customHeight="1">
      <c r="A248" s="33">
        <v>46243</v>
      </c>
      <c r="B248" s="30">
        <v>32</v>
      </c>
    </row>
    <row r="249" spans="1:7" ht="12" customHeight="1">
      <c r="A249" s="33">
        <v>46244</v>
      </c>
      <c r="B249" s="30">
        <v>32</v>
      </c>
    </row>
    <row r="250" spans="1:7" ht="12" customHeight="1">
      <c r="A250" s="33">
        <v>46245</v>
      </c>
      <c r="B250" s="30">
        <v>32</v>
      </c>
    </row>
    <row r="251" spans="1:7" ht="12" customHeight="1">
      <c r="A251" s="33">
        <v>46246</v>
      </c>
      <c r="B251" s="30">
        <v>32</v>
      </c>
    </row>
    <row r="252" spans="1:7" ht="12" customHeight="1">
      <c r="A252" s="33">
        <v>46247</v>
      </c>
      <c r="B252" s="30">
        <v>33</v>
      </c>
    </row>
    <row r="253" spans="1:7" ht="12" customHeight="1">
      <c r="A253" s="33">
        <v>46248</v>
      </c>
      <c r="B253" s="30">
        <v>33</v>
      </c>
    </row>
    <row r="254" spans="1:7" ht="12" customHeight="1">
      <c r="A254" s="33">
        <v>46249</v>
      </c>
      <c r="B254" s="30">
        <v>33</v>
      </c>
    </row>
    <row r="255" spans="1:7" ht="12" customHeight="1">
      <c r="A255" s="33">
        <v>46250</v>
      </c>
      <c r="B255" s="30">
        <v>33</v>
      </c>
    </row>
    <row r="256" spans="1:7" ht="12" customHeight="1">
      <c r="A256" s="33">
        <v>46251</v>
      </c>
      <c r="B256" s="30">
        <v>33</v>
      </c>
    </row>
    <row r="257" spans="1:2" ht="12" customHeight="1">
      <c r="A257" s="33">
        <v>46252</v>
      </c>
      <c r="B257" s="30">
        <v>33</v>
      </c>
    </row>
    <row r="258" spans="1:2" ht="12" customHeight="1">
      <c r="A258" s="33">
        <v>46253</v>
      </c>
      <c r="B258" s="30">
        <v>33</v>
      </c>
    </row>
    <row r="259" spans="1:2" ht="12" customHeight="1">
      <c r="A259" s="33">
        <v>46254</v>
      </c>
      <c r="B259" s="30">
        <v>34</v>
      </c>
    </row>
    <row r="260" spans="1:2" ht="12" customHeight="1">
      <c r="A260" s="33">
        <v>46255</v>
      </c>
      <c r="B260" s="30">
        <v>34</v>
      </c>
    </row>
    <row r="261" spans="1:2" ht="12" customHeight="1">
      <c r="A261" s="33">
        <v>46256</v>
      </c>
      <c r="B261" s="30">
        <v>34</v>
      </c>
    </row>
    <row r="262" spans="1:2" ht="12" customHeight="1">
      <c r="A262" s="33">
        <v>46257</v>
      </c>
      <c r="B262" s="30">
        <v>34</v>
      </c>
    </row>
    <row r="263" spans="1:2" ht="12" customHeight="1">
      <c r="A263" s="33">
        <v>46258</v>
      </c>
      <c r="B263" s="30">
        <v>34</v>
      </c>
    </row>
    <row r="264" spans="1:2" ht="12" customHeight="1">
      <c r="A264" s="33">
        <v>46259</v>
      </c>
      <c r="B264" s="30">
        <v>34</v>
      </c>
    </row>
    <row r="265" spans="1:2" ht="12" customHeight="1">
      <c r="A265" s="33">
        <v>46260</v>
      </c>
      <c r="B265" s="30">
        <v>34</v>
      </c>
    </row>
    <row r="266" spans="1:2" ht="12" customHeight="1">
      <c r="A266" s="33">
        <v>46261</v>
      </c>
      <c r="B266" s="30">
        <v>35</v>
      </c>
    </row>
    <row r="267" spans="1:2" ht="12" customHeight="1">
      <c r="A267" s="33">
        <v>46262</v>
      </c>
      <c r="B267" s="30">
        <v>35</v>
      </c>
    </row>
    <row r="268" spans="1:2" ht="12" customHeight="1">
      <c r="A268" s="33">
        <v>46263</v>
      </c>
      <c r="B268" s="30">
        <v>35</v>
      </c>
    </row>
    <row r="269" spans="1:2" ht="12" customHeight="1">
      <c r="A269" s="33">
        <v>46264</v>
      </c>
      <c r="B269" s="30">
        <v>35</v>
      </c>
    </row>
    <row r="270" spans="1:2" ht="12" customHeight="1">
      <c r="A270" s="33">
        <v>46265</v>
      </c>
      <c r="B270" s="30">
        <v>35</v>
      </c>
    </row>
    <row r="271" spans="1:2" ht="12" customHeight="1">
      <c r="A271" s="33">
        <v>46266</v>
      </c>
      <c r="B271" s="30">
        <v>35</v>
      </c>
    </row>
    <row r="272" spans="1:2" ht="12" customHeight="1">
      <c r="A272" s="33">
        <v>46267</v>
      </c>
      <c r="B272" s="30">
        <v>35</v>
      </c>
    </row>
    <row r="273" spans="1:2" ht="12" customHeight="1">
      <c r="A273" s="33">
        <v>46268</v>
      </c>
      <c r="B273" s="30">
        <v>36</v>
      </c>
    </row>
    <row r="274" spans="1:2" ht="12" customHeight="1">
      <c r="A274" s="33">
        <v>46269</v>
      </c>
      <c r="B274" s="30">
        <v>36</v>
      </c>
    </row>
    <row r="275" spans="1:2" ht="12" customHeight="1">
      <c r="A275" s="33">
        <v>46270</v>
      </c>
      <c r="B275" s="30">
        <v>36</v>
      </c>
    </row>
    <row r="276" spans="1:2" ht="12" customHeight="1">
      <c r="A276" s="33">
        <v>46271</v>
      </c>
      <c r="B276" s="30">
        <v>36</v>
      </c>
    </row>
    <row r="277" spans="1:2" ht="12" customHeight="1">
      <c r="A277" s="33">
        <v>46272</v>
      </c>
      <c r="B277" s="30">
        <v>36</v>
      </c>
    </row>
    <row r="278" spans="1:2" ht="12" customHeight="1">
      <c r="A278" s="33">
        <v>46273</v>
      </c>
      <c r="B278" s="30">
        <v>36</v>
      </c>
    </row>
    <row r="279" spans="1:2" ht="12" customHeight="1">
      <c r="A279" s="33">
        <v>46274</v>
      </c>
      <c r="B279" s="30">
        <v>36</v>
      </c>
    </row>
    <row r="280" spans="1:2" ht="12" customHeight="1">
      <c r="A280" s="33">
        <v>46275</v>
      </c>
      <c r="B280" s="30">
        <v>37</v>
      </c>
    </row>
    <row r="281" spans="1:2" ht="12" customHeight="1">
      <c r="A281" s="33">
        <v>46276</v>
      </c>
      <c r="B281" s="30">
        <v>37</v>
      </c>
    </row>
    <row r="282" spans="1:2" ht="12" customHeight="1">
      <c r="A282" s="33">
        <v>46277</v>
      </c>
      <c r="B282" s="30">
        <v>37</v>
      </c>
    </row>
    <row r="283" spans="1:2" ht="12" customHeight="1">
      <c r="A283" s="33">
        <v>46278</v>
      </c>
      <c r="B283" s="30">
        <v>37</v>
      </c>
    </row>
    <row r="284" spans="1:2" ht="12" customHeight="1">
      <c r="A284" s="33">
        <v>46279</v>
      </c>
      <c r="B284" s="30">
        <v>37</v>
      </c>
    </row>
    <row r="285" spans="1:2" ht="12" customHeight="1">
      <c r="A285" s="33">
        <v>46280</v>
      </c>
      <c r="B285" s="30">
        <v>37</v>
      </c>
    </row>
    <row r="286" spans="1:2" ht="12" customHeight="1">
      <c r="A286" s="33">
        <v>46281</v>
      </c>
      <c r="B286" s="30">
        <v>37</v>
      </c>
    </row>
    <row r="287" spans="1:2" ht="12" customHeight="1">
      <c r="A287" s="33">
        <v>46282</v>
      </c>
      <c r="B287" s="30">
        <v>38</v>
      </c>
    </row>
    <row r="288" spans="1:2" ht="12" customHeight="1">
      <c r="A288" s="33">
        <v>46283</v>
      </c>
      <c r="B288" s="30">
        <v>38</v>
      </c>
    </row>
    <row r="289" spans="1:2" ht="12" customHeight="1">
      <c r="A289" s="33">
        <v>46284</v>
      </c>
      <c r="B289" s="30">
        <v>38</v>
      </c>
    </row>
    <row r="290" spans="1:2" ht="12" customHeight="1">
      <c r="A290" s="33">
        <v>46285</v>
      </c>
      <c r="B290" s="30">
        <v>38</v>
      </c>
    </row>
    <row r="291" spans="1:2" ht="12" customHeight="1">
      <c r="A291" s="33">
        <v>46286</v>
      </c>
      <c r="B291" s="30">
        <v>38</v>
      </c>
    </row>
    <row r="292" spans="1:2" ht="12" customHeight="1">
      <c r="A292" s="33">
        <v>46287</v>
      </c>
      <c r="B292" s="30">
        <v>38</v>
      </c>
    </row>
    <row r="293" spans="1:2" ht="12" customHeight="1">
      <c r="A293" s="33">
        <v>46288</v>
      </c>
      <c r="B293" s="30">
        <v>38</v>
      </c>
    </row>
    <row r="294" spans="1:2" ht="12" customHeight="1">
      <c r="A294" s="33">
        <v>46289</v>
      </c>
      <c r="B294" s="30">
        <v>39</v>
      </c>
    </row>
    <row r="295" spans="1:2" ht="12" customHeight="1">
      <c r="A295" s="33">
        <v>46290</v>
      </c>
      <c r="B295" s="30">
        <v>39</v>
      </c>
    </row>
    <row r="296" spans="1:2" ht="12" customHeight="1">
      <c r="A296" s="33">
        <v>46291</v>
      </c>
      <c r="B296" s="30">
        <v>39</v>
      </c>
    </row>
    <row r="297" spans="1:2" ht="12" customHeight="1">
      <c r="A297" s="33">
        <v>46292</v>
      </c>
      <c r="B297" s="30">
        <v>39</v>
      </c>
    </row>
    <row r="298" spans="1:2" ht="12" customHeight="1">
      <c r="A298" s="33">
        <v>46293</v>
      </c>
      <c r="B298" s="30">
        <v>39</v>
      </c>
    </row>
    <row r="299" spans="1:2" ht="12" customHeight="1">
      <c r="A299" s="33">
        <v>46294</v>
      </c>
      <c r="B299" s="30">
        <v>39</v>
      </c>
    </row>
    <row r="300" spans="1:2" ht="12" customHeight="1">
      <c r="A300" s="33">
        <v>46295</v>
      </c>
      <c r="B300" s="30">
        <v>39</v>
      </c>
    </row>
    <row r="301" spans="1:2" ht="12" customHeight="1">
      <c r="A301" s="33">
        <v>46296</v>
      </c>
      <c r="B301" s="30">
        <v>40</v>
      </c>
    </row>
    <row r="302" spans="1:2" ht="12" customHeight="1">
      <c r="A302" s="33">
        <v>46297</v>
      </c>
      <c r="B302" s="30">
        <v>40</v>
      </c>
    </row>
    <row r="303" spans="1:2" ht="12" customHeight="1">
      <c r="A303" s="33">
        <v>46298</v>
      </c>
      <c r="B303" s="30">
        <v>40</v>
      </c>
    </row>
    <row r="304" spans="1:2" ht="12" customHeight="1">
      <c r="A304" s="33">
        <v>46299</v>
      </c>
      <c r="B304" s="30">
        <v>40</v>
      </c>
    </row>
    <row r="305" spans="1:2" ht="12" customHeight="1">
      <c r="A305" s="33">
        <v>46300</v>
      </c>
      <c r="B305" s="30">
        <v>40</v>
      </c>
    </row>
    <row r="306" spans="1:2" ht="12" customHeight="1">
      <c r="A306" s="33">
        <v>46301</v>
      </c>
      <c r="B306" s="30">
        <v>40</v>
      </c>
    </row>
    <row r="307" spans="1:2" ht="12" customHeight="1">
      <c r="A307" s="33">
        <v>46302</v>
      </c>
      <c r="B307" s="30">
        <v>40</v>
      </c>
    </row>
    <row r="308" spans="1:2" ht="12" customHeight="1">
      <c r="A308" s="33">
        <v>46303</v>
      </c>
      <c r="B308" s="30">
        <v>41</v>
      </c>
    </row>
    <row r="309" spans="1:2" ht="12" customHeight="1">
      <c r="A309" s="33">
        <v>46304</v>
      </c>
      <c r="B309" s="30">
        <v>41</v>
      </c>
    </row>
    <row r="310" spans="1:2" ht="12" customHeight="1">
      <c r="A310" s="33">
        <v>46305</v>
      </c>
      <c r="B310" s="30">
        <v>41</v>
      </c>
    </row>
    <row r="311" spans="1:2" ht="12" customHeight="1">
      <c r="A311" s="33">
        <v>46306</v>
      </c>
      <c r="B311" s="30">
        <v>41</v>
      </c>
    </row>
    <row r="312" spans="1:2" ht="12" customHeight="1">
      <c r="A312" s="33">
        <v>46307</v>
      </c>
      <c r="B312" s="30">
        <v>41</v>
      </c>
    </row>
    <row r="313" spans="1:2" ht="12" customHeight="1">
      <c r="A313" s="33">
        <v>46308</v>
      </c>
      <c r="B313" s="30">
        <v>41</v>
      </c>
    </row>
    <row r="314" spans="1:2" ht="12" customHeight="1">
      <c r="A314" s="33">
        <v>46309</v>
      </c>
      <c r="B314" s="30">
        <v>41</v>
      </c>
    </row>
    <row r="315" spans="1:2" ht="12" customHeight="1">
      <c r="A315" s="33">
        <v>46310</v>
      </c>
      <c r="B315" s="30">
        <v>42</v>
      </c>
    </row>
    <row r="316" spans="1:2" ht="12" customHeight="1">
      <c r="A316" s="33">
        <v>46311</v>
      </c>
      <c r="B316" s="30">
        <v>42</v>
      </c>
    </row>
    <row r="317" spans="1:2" ht="12" customHeight="1">
      <c r="A317" s="33">
        <v>46312</v>
      </c>
      <c r="B317" s="30">
        <v>42</v>
      </c>
    </row>
    <row r="318" spans="1:2" ht="12" customHeight="1">
      <c r="A318" s="33">
        <v>46313</v>
      </c>
      <c r="B318" s="30">
        <v>42</v>
      </c>
    </row>
    <row r="319" spans="1:2" ht="12" customHeight="1">
      <c r="A319" s="33">
        <v>46314</v>
      </c>
      <c r="B319" s="30">
        <v>42</v>
      </c>
    </row>
    <row r="320" spans="1:2" ht="12" customHeight="1">
      <c r="A320" s="33">
        <v>46315</v>
      </c>
      <c r="B320" s="30">
        <v>42</v>
      </c>
    </row>
    <row r="321" spans="1:2" ht="12" customHeight="1">
      <c r="A321" s="33">
        <v>46316</v>
      </c>
      <c r="B321" s="30">
        <v>42</v>
      </c>
    </row>
    <row r="322" spans="1:2" ht="12" customHeight="1">
      <c r="A322" s="33">
        <v>46317</v>
      </c>
      <c r="B322" s="30">
        <v>43</v>
      </c>
    </row>
    <row r="323" spans="1:2" ht="12" customHeight="1">
      <c r="A323" s="33">
        <v>46318</v>
      </c>
      <c r="B323" s="30">
        <v>43</v>
      </c>
    </row>
    <row r="324" spans="1:2" ht="12" customHeight="1">
      <c r="A324" s="33">
        <v>46319</v>
      </c>
      <c r="B324" s="30">
        <v>43</v>
      </c>
    </row>
    <row r="325" spans="1:2" ht="12" customHeight="1">
      <c r="A325" s="33">
        <v>46320</v>
      </c>
      <c r="B325" s="30">
        <v>43</v>
      </c>
    </row>
    <row r="326" spans="1:2" ht="12" customHeight="1">
      <c r="A326" s="33">
        <v>46321</v>
      </c>
      <c r="B326" s="30">
        <v>43</v>
      </c>
    </row>
    <row r="327" spans="1:2" ht="12" customHeight="1">
      <c r="A327" s="33">
        <v>46322</v>
      </c>
      <c r="B327" s="30">
        <v>43</v>
      </c>
    </row>
    <row r="328" spans="1:2" ht="12" customHeight="1">
      <c r="A328" s="33">
        <v>46323</v>
      </c>
      <c r="B328" s="30">
        <v>43</v>
      </c>
    </row>
    <row r="329" spans="1:2" ht="12" customHeight="1">
      <c r="A329" s="33">
        <v>46324</v>
      </c>
      <c r="B329" s="30">
        <v>44</v>
      </c>
    </row>
    <row r="330" spans="1:2" ht="12" customHeight="1">
      <c r="A330" s="33">
        <v>46325</v>
      </c>
      <c r="B330" s="30">
        <v>44</v>
      </c>
    </row>
    <row r="331" spans="1:2" ht="12" customHeight="1">
      <c r="A331" s="33">
        <v>46326</v>
      </c>
      <c r="B331" s="30">
        <v>44</v>
      </c>
    </row>
    <row r="332" spans="1:2" ht="12" customHeight="1">
      <c r="A332" s="33">
        <v>46327</v>
      </c>
      <c r="B332" s="30">
        <v>44</v>
      </c>
    </row>
    <row r="333" spans="1:2" ht="12" customHeight="1">
      <c r="A333" s="33">
        <v>46328</v>
      </c>
      <c r="B333" s="30">
        <v>44</v>
      </c>
    </row>
    <row r="334" spans="1:2" ht="12" customHeight="1">
      <c r="A334" s="33">
        <v>46329</v>
      </c>
      <c r="B334" s="30">
        <v>44</v>
      </c>
    </row>
    <row r="335" spans="1:2" ht="12" customHeight="1">
      <c r="A335" s="33">
        <v>46330</v>
      </c>
      <c r="B335" s="30">
        <v>44</v>
      </c>
    </row>
    <row r="336" spans="1:2" ht="12" customHeight="1">
      <c r="A336" s="33">
        <v>46331</v>
      </c>
      <c r="B336" s="30">
        <v>45</v>
      </c>
    </row>
    <row r="337" spans="1:8" ht="12" customHeight="1">
      <c r="A337" s="33">
        <v>46332</v>
      </c>
      <c r="B337" s="30">
        <v>45</v>
      </c>
    </row>
    <row r="338" spans="1:8" ht="12" customHeight="1">
      <c r="A338" s="33">
        <v>46333</v>
      </c>
      <c r="B338" s="30">
        <v>45</v>
      </c>
    </row>
    <row r="339" spans="1:8" ht="12" customHeight="1">
      <c r="A339" s="33">
        <v>46334</v>
      </c>
      <c r="B339" s="30">
        <v>45</v>
      </c>
    </row>
    <row r="340" spans="1:8" ht="12" customHeight="1">
      <c r="A340" s="33">
        <v>46335</v>
      </c>
      <c r="B340" s="30">
        <v>45</v>
      </c>
    </row>
    <row r="341" spans="1:8" ht="12" customHeight="1">
      <c r="A341" s="33">
        <v>46336</v>
      </c>
      <c r="B341" s="30">
        <v>45</v>
      </c>
    </row>
    <row r="342" spans="1:8" ht="12" customHeight="1">
      <c r="A342" s="33">
        <v>46337</v>
      </c>
      <c r="B342" s="30">
        <v>45</v>
      </c>
    </row>
    <row r="343" spans="1:8" ht="12" customHeight="1">
      <c r="A343" s="33">
        <v>46338</v>
      </c>
      <c r="B343" s="30">
        <v>46</v>
      </c>
    </row>
    <row r="344" spans="1:8" ht="12" customHeight="1">
      <c r="A344" s="33">
        <v>46339</v>
      </c>
      <c r="B344" s="30">
        <v>46</v>
      </c>
    </row>
    <row r="345" spans="1:8" ht="12" customHeight="1">
      <c r="A345" s="33">
        <v>46340</v>
      </c>
      <c r="B345" s="30">
        <v>46</v>
      </c>
    </row>
    <row r="346" spans="1:8" ht="12" customHeight="1">
      <c r="A346" s="33">
        <v>46341</v>
      </c>
      <c r="B346" s="30">
        <v>46</v>
      </c>
    </row>
    <row r="347" spans="1:8" ht="12" customHeight="1">
      <c r="A347" s="33">
        <v>46342</v>
      </c>
      <c r="B347" s="30">
        <v>46</v>
      </c>
    </row>
    <row r="348" spans="1:8" ht="12" customHeight="1">
      <c r="A348" s="33">
        <v>46343</v>
      </c>
      <c r="B348" s="30">
        <v>46</v>
      </c>
      <c r="H348" s="30"/>
    </row>
    <row r="349" spans="1:8" ht="12" customHeight="1">
      <c r="A349" s="33">
        <v>46344</v>
      </c>
      <c r="B349" s="30">
        <v>46</v>
      </c>
      <c r="H349" s="30"/>
    </row>
    <row r="350" spans="1:8" ht="12" customHeight="1">
      <c r="A350" s="33">
        <v>46345</v>
      </c>
      <c r="B350" s="30">
        <v>47</v>
      </c>
      <c r="H350" s="30"/>
    </row>
    <row r="351" spans="1:8" ht="12" customHeight="1">
      <c r="A351" s="33">
        <v>46346</v>
      </c>
      <c r="B351" s="30">
        <v>47</v>
      </c>
      <c r="H351" s="30"/>
    </row>
    <row r="352" spans="1:8" ht="12" customHeight="1">
      <c r="A352" s="33">
        <v>46347</v>
      </c>
      <c r="B352" s="30">
        <v>47</v>
      </c>
      <c r="H352" s="30"/>
    </row>
    <row r="353" spans="1:8" ht="12" customHeight="1">
      <c r="A353" s="33">
        <v>46348</v>
      </c>
      <c r="B353" s="30">
        <v>47</v>
      </c>
      <c r="H353" s="30"/>
    </row>
    <row r="354" spans="1:8" ht="12" customHeight="1">
      <c r="A354" s="33">
        <v>46349</v>
      </c>
      <c r="B354" s="30">
        <v>47</v>
      </c>
      <c r="H354" s="30"/>
    </row>
    <row r="355" spans="1:8" ht="12" customHeight="1">
      <c r="A355" s="33">
        <v>46350</v>
      </c>
      <c r="B355" s="30">
        <v>47</v>
      </c>
      <c r="H355" s="30"/>
    </row>
    <row r="356" spans="1:8" ht="12" customHeight="1">
      <c r="A356" s="33">
        <v>46351</v>
      </c>
      <c r="B356" s="30">
        <v>47</v>
      </c>
    </row>
    <row r="357" spans="1:8" ht="12" customHeight="1">
      <c r="A357" s="33">
        <v>46352</v>
      </c>
      <c r="B357" s="30">
        <v>48</v>
      </c>
    </row>
    <row r="358" spans="1:8" ht="12" customHeight="1">
      <c r="A358" s="33">
        <v>46353</v>
      </c>
      <c r="B358" s="30">
        <v>48</v>
      </c>
    </row>
    <row r="359" spans="1:8" ht="12" customHeight="1">
      <c r="A359" s="33">
        <v>46354</v>
      </c>
      <c r="B359" s="30">
        <v>48</v>
      </c>
    </row>
    <row r="360" spans="1:8" ht="12" customHeight="1">
      <c r="A360" s="33">
        <v>46355</v>
      </c>
      <c r="B360" s="30">
        <v>48</v>
      </c>
    </row>
    <row r="361" spans="1:8" ht="12" customHeight="1">
      <c r="A361" s="33">
        <v>46356</v>
      </c>
      <c r="B361" s="30">
        <v>48</v>
      </c>
    </row>
    <row r="362" spans="1:8" ht="12" customHeight="1">
      <c r="A362" s="33">
        <v>46357</v>
      </c>
      <c r="B362" s="30">
        <v>48</v>
      </c>
    </row>
    <row r="363" spans="1:8" ht="12" customHeight="1">
      <c r="A363" s="33">
        <v>46358</v>
      </c>
      <c r="B363" s="30">
        <v>48</v>
      </c>
      <c r="G363" s="31"/>
    </row>
    <row r="364" spans="1:8" ht="12" customHeight="1">
      <c r="A364" s="33">
        <v>46359</v>
      </c>
      <c r="B364" s="30">
        <v>49</v>
      </c>
      <c r="G364" s="31"/>
    </row>
    <row r="365" spans="1:8" ht="12" customHeight="1">
      <c r="A365" s="33">
        <v>46360</v>
      </c>
      <c r="B365" s="30">
        <v>49</v>
      </c>
      <c r="G365" s="31"/>
    </row>
    <row r="366" spans="1:8" ht="12" customHeight="1">
      <c r="A366" s="33">
        <v>46361</v>
      </c>
      <c r="B366" s="30">
        <v>49</v>
      </c>
      <c r="G366" s="31"/>
    </row>
    <row r="367" spans="1:8" ht="12" customHeight="1">
      <c r="A367" s="33">
        <v>46362</v>
      </c>
      <c r="B367" s="30">
        <v>49</v>
      </c>
      <c r="G367" s="31"/>
    </row>
    <row r="368" spans="1:8" ht="12" customHeight="1">
      <c r="A368" s="33">
        <v>46363</v>
      </c>
      <c r="B368" s="30">
        <v>49</v>
      </c>
      <c r="G368" s="31"/>
    </row>
    <row r="369" spans="1:7" ht="12" customHeight="1">
      <c r="A369" s="33">
        <v>46364</v>
      </c>
      <c r="B369" s="30">
        <v>49</v>
      </c>
      <c r="G369" s="31"/>
    </row>
    <row r="370" spans="1:7" ht="12" customHeight="1">
      <c r="A370" s="33">
        <v>46365</v>
      </c>
      <c r="B370" s="30">
        <v>49</v>
      </c>
      <c r="G370" s="31"/>
    </row>
    <row r="371" spans="1:7" ht="12" customHeight="1">
      <c r="A371" s="33">
        <v>46366</v>
      </c>
      <c r="B371" s="30">
        <v>50</v>
      </c>
      <c r="G371" s="31"/>
    </row>
    <row r="372" spans="1:7" ht="12" customHeight="1">
      <c r="A372" s="33">
        <v>46367</v>
      </c>
      <c r="B372" s="30">
        <v>50</v>
      </c>
      <c r="G372" s="31"/>
    </row>
    <row r="373" spans="1:7" ht="12" customHeight="1">
      <c r="A373" s="33">
        <v>46368</v>
      </c>
      <c r="B373" s="30">
        <v>50</v>
      </c>
      <c r="G373" s="31"/>
    </row>
    <row r="374" spans="1:7" ht="12" customHeight="1">
      <c r="A374" s="33">
        <v>46369</v>
      </c>
      <c r="B374" s="30">
        <v>50</v>
      </c>
      <c r="G374" s="31"/>
    </row>
    <row r="375" spans="1:7" ht="12" customHeight="1">
      <c r="A375" s="33">
        <v>46370</v>
      </c>
      <c r="B375" s="30">
        <v>50</v>
      </c>
      <c r="G375" s="31"/>
    </row>
    <row r="376" spans="1:7" ht="12" customHeight="1">
      <c r="A376" s="33">
        <v>46371</v>
      </c>
      <c r="B376" s="30">
        <v>50</v>
      </c>
      <c r="G376" s="31"/>
    </row>
    <row r="377" spans="1:7" ht="12" customHeight="1">
      <c r="A377" s="33">
        <v>46372</v>
      </c>
      <c r="B377" s="30">
        <v>50</v>
      </c>
    </row>
    <row r="378" spans="1:7" ht="12" customHeight="1">
      <c r="A378" s="33">
        <v>46373</v>
      </c>
      <c r="B378" s="30">
        <v>51</v>
      </c>
    </row>
    <row r="379" spans="1:7" ht="12" customHeight="1">
      <c r="A379" s="33">
        <v>46374</v>
      </c>
      <c r="B379" s="30">
        <v>51</v>
      </c>
    </row>
    <row r="380" spans="1:7" ht="12" customHeight="1">
      <c r="A380" s="33">
        <v>46375</v>
      </c>
      <c r="B380" s="30">
        <v>51</v>
      </c>
    </row>
    <row r="381" spans="1:7" ht="12" customHeight="1">
      <c r="A381" s="33">
        <v>46376</v>
      </c>
      <c r="B381" s="30">
        <v>51</v>
      </c>
    </row>
    <row r="382" spans="1:7" ht="12" customHeight="1">
      <c r="A382" s="33">
        <v>46377</v>
      </c>
      <c r="B382" s="30">
        <v>51</v>
      </c>
    </row>
    <row r="383" spans="1:7" ht="12" customHeight="1">
      <c r="A383" s="33">
        <v>46378</v>
      </c>
      <c r="B383" s="30">
        <v>51</v>
      </c>
    </row>
    <row r="384" spans="1:7" ht="12" customHeight="1">
      <c r="A384" s="33">
        <v>46379</v>
      </c>
      <c r="B384" s="30">
        <v>51</v>
      </c>
    </row>
    <row r="385" spans="1:2" ht="12" customHeight="1">
      <c r="A385" s="33">
        <v>46380</v>
      </c>
      <c r="B385" s="30">
        <v>52</v>
      </c>
    </row>
    <row r="386" spans="1:2" ht="12" customHeight="1">
      <c r="A386" s="33">
        <v>46381</v>
      </c>
      <c r="B386" s="30">
        <v>52</v>
      </c>
    </row>
    <row r="387" spans="1:2" ht="12" customHeight="1">
      <c r="A387" s="33">
        <v>46382</v>
      </c>
      <c r="B387" s="30">
        <v>52</v>
      </c>
    </row>
    <row r="388" spans="1:2" ht="12" customHeight="1">
      <c r="A388" s="33">
        <v>46383</v>
      </c>
      <c r="B388" s="30">
        <v>52</v>
      </c>
    </row>
    <row r="389" spans="1:2" ht="12" customHeight="1">
      <c r="A389" s="33">
        <v>46384</v>
      </c>
      <c r="B389" s="30">
        <v>52</v>
      </c>
    </row>
    <row r="390" spans="1:2" ht="12" customHeight="1">
      <c r="A390" s="33">
        <v>46385</v>
      </c>
      <c r="B390" s="30">
        <v>52</v>
      </c>
    </row>
    <row r="391" spans="1:2" ht="12" customHeight="1">
      <c r="A391" s="33">
        <v>46386</v>
      </c>
      <c r="B391" s="30">
        <v>52</v>
      </c>
    </row>
    <row r="392" spans="1:2" ht="12" customHeight="1">
      <c r="A392" s="33">
        <v>46387</v>
      </c>
      <c r="B392" s="30">
        <v>53</v>
      </c>
    </row>
    <row r="393" spans="1:2" ht="12" customHeight="1"/>
    <row r="394" spans="1:2" ht="12" customHeight="1"/>
    <row r="395" spans="1:2" ht="12" customHeight="1"/>
    <row r="396" spans="1:2" ht="12" customHeight="1"/>
    <row r="397" spans="1:2" ht="12" customHeight="1"/>
    <row r="398" spans="1:2" ht="12" customHeight="1"/>
    <row r="399" spans="1:2" ht="12" customHeight="1"/>
    <row r="400" spans="1:2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spans="3:3" ht="12" customHeight="1"/>
    <row r="434" spans="3:3" ht="12" customHeight="1"/>
    <row r="435" spans="3:3" ht="12" customHeight="1"/>
    <row r="436" spans="3:3" ht="12" customHeight="1"/>
    <row r="437" spans="3:3" ht="12" customHeight="1"/>
    <row r="438" spans="3:3" ht="12" customHeight="1"/>
    <row r="439" spans="3:3" ht="12" customHeight="1"/>
    <row r="440" spans="3:3" ht="12" customHeight="1"/>
    <row r="441" spans="3:3" ht="12" customHeight="1"/>
    <row r="442" spans="3:3" ht="12" customHeight="1"/>
    <row r="443" spans="3:3" ht="12" customHeight="1"/>
    <row r="444" spans="3:3" ht="12" customHeight="1">
      <c r="C444" s="31"/>
    </row>
    <row r="445" spans="3:3" ht="12" customHeight="1">
      <c r="C445" s="31"/>
    </row>
    <row r="446" spans="3:3" ht="12" customHeight="1">
      <c r="C446" s="31"/>
    </row>
    <row r="447" spans="3:3" ht="12" customHeight="1">
      <c r="C447" s="31"/>
    </row>
    <row r="448" spans="3:3" ht="12" customHeight="1">
      <c r="C448" s="31"/>
    </row>
    <row r="449" spans="3:7" ht="12" customHeight="1">
      <c r="C449" s="31"/>
    </row>
    <row r="450" spans="3:7" ht="12" customHeight="1">
      <c r="C450" s="31"/>
      <c r="G450" s="31"/>
    </row>
    <row r="451" spans="3:7" ht="12" customHeight="1">
      <c r="C451" s="31"/>
      <c r="G451" s="31"/>
    </row>
    <row r="452" spans="3:7" ht="12" customHeight="1">
      <c r="C452" s="31"/>
      <c r="G452" s="31"/>
    </row>
    <row r="453" spans="3:7" ht="12" customHeight="1">
      <c r="C453" s="31"/>
      <c r="G453" s="31"/>
    </row>
    <row r="454" spans="3:7" ht="12" customHeight="1">
      <c r="C454" s="31"/>
      <c r="G454" s="31"/>
    </row>
    <row r="455" spans="3:7" ht="12" customHeight="1">
      <c r="C455" s="31"/>
      <c r="G455" s="31"/>
    </row>
    <row r="456" spans="3:7" ht="12" customHeight="1">
      <c r="C456" s="31"/>
      <c r="G456" s="31"/>
    </row>
    <row r="457" spans="3:7" ht="12" customHeight="1">
      <c r="C457" s="31"/>
      <c r="G457" s="31"/>
    </row>
    <row r="458" spans="3:7" ht="12" customHeight="1">
      <c r="C458" s="31"/>
      <c r="G458" s="31"/>
    </row>
    <row r="459" spans="3:7" ht="12" customHeight="1">
      <c r="C459" s="31"/>
      <c r="G459" s="31"/>
    </row>
    <row r="460" spans="3:7" ht="12" customHeight="1">
      <c r="C460" s="31"/>
      <c r="G460" s="31"/>
    </row>
    <row r="461" spans="3:7" ht="12" customHeight="1">
      <c r="C461" s="31"/>
      <c r="D461" s="31"/>
      <c r="G461" s="31"/>
    </row>
    <row r="462" spans="3:7" ht="12" customHeight="1">
      <c r="C462" s="31"/>
      <c r="G462" s="31"/>
    </row>
    <row r="463" spans="3:7" ht="12" customHeight="1">
      <c r="C463" s="31"/>
      <c r="G463" s="31"/>
    </row>
    <row r="464" spans="3:7" ht="12" customHeight="1">
      <c r="C464" s="31"/>
      <c r="G464" s="31"/>
    </row>
    <row r="465" spans="3:7" ht="12" customHeight="1">
      <c r="C465" s="31"/>
      <c r="G465" s="31"/>
    </row>
    <row r="466" spans="3:7" ht="12" customHeight="1">
      <c r="C466" s="31"/>
      <c r="G466" s="31"/>
    </row>
    <row r="467" spans="3:7" ht="12" customHeight="1">
      <c r="C467" s="31"/>
      <c r="G467" s="31"/>
    </row>
    <row r="468" spans="3:7" ht="12" customHeight="1">
      <c r="C468" s="31"/>
      <c r="G468" s="31"/>
    </row>
    <row r="469" spans="3:7" ht="12" customHeight="1">
      <c r="C469" s="31"/>
      <c r="G469" s="31"/>
    </row>
    <row r="470" spans="3:7" ht="12" customHeight="1">
      <c r="C470" s="31"/>
      <c r="G470" s="31"/>
    </row>
    <row r="471" spans="3:7" ht="12" customHeight="1">
      <c r="C471" s="31"/>
      <c r="G471" s="31"/>
    </row>
    <row r="472" spans="3:7" ht="12" customHeight="1">
      <c r="C472" s="31"/>
      <c r="G472" s="31"/>
    </row>
    <row r="473" spans="3:7" ht="12" customHeight="1">
      <c r="C473" s="31"/>
      <c r="F473" s="31"/>
      <c r="G473" s="31"/>
    </row>
    <row r="474" spans="3:7" ht="12" customHeight="1">
      <c r="C474" s="31"/>
      <c r="G474" s="31"/>
    </row>
    <row r="475" spans="3:7" ht="12" customHeight="1">
      <c r="C475" s="31"/>
      <c r="G475" s="31"/>
    </row>
    <row r="476" spans="3:7" ht="12" customHeight="1">
      <c r="C476" s="31"/>
      <c r="G476" s="31"/>
    </row>
    <row r="477" spans="3:7" ht="12" customHeight="1">
      <c r="C477" s="31"/>
      <c r="G477" s="31"/>
    </row>
    <row r="478" spans="3:7" ht="12" customHeight="1">
      <c r="C478" s="31"/>
      <c r="G478" s="31"/>
    </row>
    <row r="479" spans="3:7" ht="12" customHeight="1">
      <c r="C479" s="31"/>
      <c r="G479" s="31"/>
    </row>
    <row r="480" spans="3:7" ht="12" customHeight="1">
      <c r="C480" s="31"/>
      <c r="G480" s="31"/>
    </row>
    <row r="481" spans="3:7" ht="12" customHeight="1">
      <c r="C481" s="31"/>
      <c r="G481" s="31"/>
    </row>
    <row r="482" spans="3:7" ht="12" customHeight="1">
      <c r="C482" s="31"/>
      <c r="G482" s="31"/>
    </row>
    <row r="483" spans="3:7" ht="12" customHeight="1">
      <c r="C483" s="31"/>
      <c r="G483" s="31"/>
    </row>
    <row r="484" spans="3:7" ht="12" customHeight="1">
      <c r="C484" s="31"/>
      <c r="G484" s="31"/>
    </row>
    <row r="485" spans="3:7" ht="12" customHeight="1">
      <c r="C485" s="31"/>
      <c r="G485" s="31"/>
    </row>
    <row r="486" spans="3:7" ht="12" customHeight="1">
      <c r="C486" s="31"/>
      <c r="G486" s="31"/>
    </row>
    <row r="487" spans="3:7" ht="12" customHeight="1">
      <c r="C487" s="31"/>
      <c r="G487" s="31"/>
    </row>
    <row r="488" spans="3:7" ht="12" customHeight="1">
      <c r="C488" s="31"/>
      <c r="G488" s="31"/>
    </row>
    <row r="489" spans="3:7" ht="12" customHeight="1">
      <c r="C489" s="31"/>
      <c r="G489" s="31"/>
    </row>
    <row r="490" spans="3:7" ht="12" customHeight="1">
      <c r="C490" s="31"/>
      <c r="G490" s="31"/>
    </row>
    <row r="491" spans="3:7" ht="12" customHeight="1">
      <c r="C491" s="31"/>
      <c r="G491" s="31"/>
    </row>
    <row r="492" spans="3:7" ht="12" customHeight="1">
      <c r="C492" s="31"/>
      <c r="G492" s="31"/>
    </row>
    <row r="493" spans="3:7" ht="12" customHeight="1">
      <c r="C493" s="31"/>
      <c r="G493" s="31"/>
    </row>
    <row r="494" spans="3:7" ht="12" customHeight="1">
      <c r="C494" s="31"/>
      <c r="G494" s="31"/>
    </row>
    <row r="495" spans="3:7" ht="12" customHeight="1">
      <c r="C495" s="31"/>
      <c r="G495" s="31"/>
    </row>
    <row r="496" spans="3:7" ht="12" customHeight="1">
      <c r="C496" s="31"/>
      <c r="G496" s="31"/>
    </row>
    <row r="497" spans="3:7" ht="12" customHeight="1">
      <c r="C497" s="31"/>
      <c r="G497" s="31"/>
    </row>
    <row r="498" spans="3:7" ht="12" customHeight="1">
      <c r="C498" s="31"/>
      <c r="G498" s="31"/>
    </row>
    <row r="499" spans="3:7" ht="12" customHeight="1">
      <c r="C499" s="31"/>
      <c r="G499" s="31"/>
    </row>
    <row r="500" spans="3:7" ht="12" customHeight="1">
      <c r="C500" s="31"/>
      <c r="G500" s="31"/>
    </row>
    <row r="501" spans="3:7" ht="12" customHeight="1">
      <c r="C501" s="31"/>
      <c r="G501" s="31"/>
    </row>
    <row r="502" spans="3:7" ht="12" customHeight="1">
      <c r="C502" s="31"/>
      <c r="G502" s="31"/>
    </row>
    <row r="503" spans="3:7" ht="12" customHeight="1">
      <c r="C503" s="31"/>
      <c r="G503" s="31"/>
    </row>
    <row r="504" spans="3:7" ht="12" customHeight="1">
      <c r="C504" s="31"/>
      <c r="G504" s="31"/>
    </row>
    <row r="505" spans="3:7" ht="12" customHeight="1">
      <c r="C505" s="31"/>
      <c r="G505" s="31"/>
    </row>
    <row r="506" spans="3:7" ht="12" customHeight="1">
      <c r="C506" s="31"/>
      <c r="G506" s="31"/>
    </row>
    <row r="507" spans="3:7" ht="12" customHeight="1">
      <c r="C507" s="31"/>
      <c r="G507" s="31"/>
    </row>
    <row r="508" spans="3:7" ht="12" customHeight="1">
      <c r="C508" s="31"/>
      <c r="G508" s="31"/>
    </row>
    <row r="509" spans="3:7" ht="12" customHeight="1">
      <c r="C509" s="31"/>
      <c r="G509" s="31"/>
    </row>
    <row r="510" spans="3:7" ht="12" customHeight="1">
      <c r="C510" s="31"/>
      <c r="G510" s="31"/>
    </row>
    <row r="511" spans="3:7" ht="12" customHeight="1">
      <c r="C511" s="31"/>
      <c r="G511" s="31"/>
    </row>
    <row r="512" spans="3:7" ht="12" customHeight="1">
      <c r="C512" s="31"/>
      <c r="G512" s="31"/>
    </row>
    <row r="513" spans="3:7" ht="12" customHeight="1">
      <c r="C513" s="31"/>
      <c r="G513" s="31"/>
    </row>
    <row r="514" spans="3:7" ht="12" customHeight="1">
      <c r="C514" s="31"/>
      <c r="G514" s="31"/>
    </row>
    <row r="515" spans="3:7" ht="12" customHeight="1">
      <c r="C515" s="31"/>
      <c r="G515" s="31"/>
    </row>
    <row r="516" spans="3:7" ht="12" customHeight="1">
      <c r="C516" s="31"/>
      <c r="G516" s="31"/>
    </row>
    <row r="517" spans="3:7" ht="12" customHeight="1">
      <c r="C517" s="31"/>
      <c r="G517" s="31"/>
    </row>
    <row r="518" spans="3:7" ht="12" customHeight="1">
      <c r="C518" s="31"/>
      <c r="G518" s="31"/>
    </row>
    <row r="519" spans="3:7" ht="12" customHeight="1">
      <c r="C519" s="31"/>
      <c r="G519" s="31"/>
    </row>
    <row r="520" spans="3:7" ht="12" customHeight="1">
      <c r="C520" s="31"/>
      <c r="G520" s="31"/>
    </row>
    <row r="521" spans="3:7" ht="12" customHeight="1">
      <c r="C521" s="31"/>
      <c r="G521" s="31"/>
    </row>
    <row r="522" spans="3:7" ht="12" customHeight="1">
      <c r="C522" s="31"/>
      <c r="G522" s="31"/>
    </row>
    <row r="523" spans="3:7" ht="12" customHeight="1">
      <c r="C523" s="31"/>
      <c r="G523" s="31"/>
    </row>
    <row r="524" spans="3:7" ht="12" customHeight="1">
      <c r="C524" s="31"/>
      <c r="G524" s="31"/>
    </row>
    <row r="525" spans="3:7" ht="12" customHeight="1">
      <c r="C525" s="31"/>
      <c r="G525" s="31"/>
    </row>
    <row r="526" spans="3:7" ht="12" customHeight="1">
      <c r="C526" s="31"/>
      <c r="G526" s="31"/>
    </row>
    <row r="527" spans="3:7" ht="12" customHeight="1">
      <c r="C527" s="31"/>
      <c r="G527" s="31"/>
    </row>
    <row r="528" spans="3:7" ht="12" customHeight="1">
      <c r="C528" s="31"/>
      <c r="G528" s="31"/>
    </row>
    <row r="529" spans="3:7" ht="12" customHeight="1">
      <c r="C529" s="31"/>
      <c r="G529" s="31"/>
    </row>
    <row r="530" spans="3:7" ht="12" customHeight="1">
      <c r="C530" s="31"/>
      <c r="G530" s="31"/>
    </row>
    <row r="531" spans="3:7" ht="12" customHeight="1">
      <c r="C531" s="31"/>
      <c r="G531" s="31"/>
    </row>
    <row r="532" spans="3:7" ht="12" customHeight="1">
      <c r="C532" s="31"/>
      <c r="G532" s="31"/>
    </row>
    <row r="533" spans="3:7" ht="12" customHeight="1">
      <c r="C533" s="31"/>
      <c r="G533" s="31"/>
    </row>
    <row r="534" spans="3:7" ht="12" customHeight="1">
      <c r="C534" s="31"/>
      <c r="G534" s="31"/>
    </row>
    <row r="535" spans="3:7" ht="12" customHeight="1">
      <c r="C535" s="31"/>
      <c r="G535" s="31"/>
    </row>
    <row r="536" spans="3:7" ht="12" customHeight="1">
      <c r="C536" s="31"/>
      <c r="G536" s="31"/>
    </row>
    <row r="537" spans="3:7" ht="12" customHeight="1">
      <c r="C537" s="31"/>
      <c r="G537" s="31"/>
    </row>
    <row r="538" spans="3:7" ht="12" customHeight="1">
      <c r="C538" s="31"/>
      <c r="G538" s="31"/>
    </row>
    <row r="539" spans="3:7" ht="12" customHeight="1">
      <c r="C539" s="31"/>
      <c r="G539" s="31"/>
    </row>
    <row r="540" spans="3:7" ht="12" customHeight="1">
      <c r="C540" s="31"/>
      <c r="G540" s="31"/>
    </row>
    <row r="541" spans="3:7" ht="12" customHeight="1">
      <c r="C541" s="31"/>
      <c r="G541" s="31"/>
    </row>
    <row r="542" spans="3:7" ht="12" customHeight="1">
      <c r="C542" s="31"/>
      <c r="G542" s="31"/>
    </row>
    <row r="543" spans="3:7" ht="12" customHeight="1">
      <c r="C543" s="31"/>
      <c r="G543" s="31"/>
    </row>
    <row r="544" spans="3:7" ht="12" customHeight="1">
      <c r="C544" s="31"/>
      <c r="G544" s="31"/>
    </row>
    <row r="545" spans="3:7" ht="12" customHeight="1">
      <c r="C545" s="31"/>
      <c r="G545" s="31"/>
    </row>
    <row r="546" spans="3:7" ht="12" customHeight="1">
      <c r="C546" s="31"/>
      <c r="G546" s="31"/>
    </row>
    <row r="547" spans="3:7" ht="12" customHeight="1">
      <c r="C547" s="31"/>
      <c r="G547" s="31"/>
    </row>
    <row r="548" spans="3:7" ht="12" customHeight="1">
      <c r="C548" s="31"/>
      <c r="G548" s="31"/>
    </row>
    <row r="549" spans="3:7" ht="12" customHeight="1">
      <c r="C549" s="31"/>
      <c r="G549" s="31"/>
    </row>
    <row r="550" spans="3:7" ht="12" customHeight="1">
      <c r="C550" s="31"/>
      <c r="G550" s="31"/>
    </row>
    <row r="551" spans="3:7" ht="12" customHeight="1">
      <c r="C551" s="31"/>
      <c r="G551" s="31"/>
    </row>
    <row r="552" spans="3:7" ht="12" customHeight="1">
      <c r="C552" s="31"/>
      <c r="G552" s="31"/>
    </row>
    <row r="553" spans="3:7" ht="12" customHeight="1">
      <c r="C553" s="31"/>
      <c r="G553" s="31"/>
    </row>
    <row r="554" spans="3:7" ht="12" customHeight="1">
      <c r="C554" s="31"/>
      <c r="G554" s="31"/>
    </row>
    <row r="555" spans="3:7" ht="12" customHeight="1">
      <c r="C555" s="31"/>
      <c r="G555" s="31"/>
    </row>
    <row r="556" spans="3:7" ht="12" customHeight="1">
      <c r="C556" s="31"/>
      <c r="G556" s="31"/>
    </row>
    <row r="557" spans="3:7" ht="12" customHeight="1">
      <c r="C557" s="31"/>
      <c r="G557" s="31"/>
    </row>
    <row r="558" spans="3:7" ht="12" customHeight="1">
      <c r="C558" s="31"/>
      <c r="G558" s="31"/>
    </row>
    <row r="559" spans="3:7" ht="12" customHeight="1">
      <c r="C559" s="31"/>
      <c r="G559" s="31"/>
    </row>
    <row r="560" spans="3:7" ht="12" customHeight="1">
      <c r="C560" s="31"/>
      <c r="G560" s="31"/>
    </row>
    <row r="561" spans="3:7" ht="12" customHeight="1">
      <c r="C561" s="31"/>
      <c r="G561" s="31"/>
    </row>
    <row r="562" spans="3:7" ht="12" customHeight="1">
      <c r="C562" s="31"/>
      <c r="G562" s="31"/>
    </row>
    <row r="563" spans="3:7" ht="12" customHeight="1">
      <c r="C563" s="31"/>
      <c r="G563" s="31"/>
    </row>
    <row r="564" spans="3:7" ht="12" customHeight="1">
      <c r="C564" s="31"/>
      <c r="G564" s="31"/>
    </row>
    <row r="565" spans="3:7" ht="12" customHeight="1">
      <c r="C565" s="31"/>
      <c r="G565" s="31"/>
    </row>
    <row r="566" spans="3:7" ht="12" customHeight="1">
      <c r="C566" s="31"/>
      <c r="G566" s="31"/>
    </row>
    <row r="567" spans="3:7" ht="12" customHeight="1">
      <c r="C567" s="31"/>
      <c r="G567" s="31"/>
    </row>
    <row r="568" spans="3:7" ht="12" customHeight="1">
      <c r="C568" s="31"/>
      <c r="G568" s="31"/>
    </row>
    <row r="569" spans="3:7" ht="12" customHeight="1">
      <c r="C569" s="31"/>
      <c r="G569" s="31"/>
    </row>
    <row r="570" spans="3:7" ht="12" customHeight="1">
      <c r="C570" s="31"/>
      <c r="G570" s="31"/>
    </row>
    <row r="571" spans="3:7" ht="12" customHeight="1">
      <c r="C571" s="31"/>
      <c r="G571" s="31"/>
    </row>
    <row r="572" spans="3:7" ht="12" customHeight="1">
      <c r="C572" s="31"/>
      <c r="G572" s="31"/>
    </row>
    <row r="573" spans="3:7" ht="12" customHeight="1">
      <c r="C573" s="31"/>
      <c r="G573" s="31"/>
    </row>
    <row r="574" spans="3:7" ht="12" customHeight="1">
      <c r="C574" s="31"/>
      <c r="G574" s="31"/>
    </row>
    <row r="575" spans="3:7" ht="12" customHeight="1">
      <c r="C575" s="31"/>
      <c r="G575" s="31"/>
    </row>
    <row r="576" spans="3:7" ht="12" customHeight="1">
      <c r="C576" s="31"/>
      <c r="G576" s="31"/>
    </row>
    <row r="577" spans="3:7" ht="12" customHeight="1">
      <c r="C577" s="31"/>
      <c r="G577" s="31"/>
    </row>
    <row r="578" spans="3:7" ht="12" customHeight="1">
      <c r="C578" s="31"/>
      <c r="G578" s="31"/>
    </row>
    <row r="579" spans="3:7" ht="12" customHeight="1">
      <c r="C579" s="31"/>
      <c r="G579" s="31"/>
    </row>
    <row r="580" spans="3:7" ht="12" customHeight="1">
      <c r="C580" s="31"/>
      <c r="G580" s="31"/>
    </row>
    <row r="581" spans="3:7" ht="12" customHeight="1">
      <c r="C581" s="31"/>
      <c r="G581" s="31"/>
    </row>
    <row r="582" spans="3:7" ht="12" customHeight="1">
      <c r="C582" s="31"/>
      <c r="G582" s="31"/>
    </row>
    <row r="583" spans="3:7" ht="12" customHeight="1">
      <c r="C583" s="31"/>
      <c r="G583" s="31"/>
    </row>
    <row r="584" spans="3:7" ht="12" customHeight="1">
      <c r="C584" s="31"/>
      <c r="G584" s="31"/>
    </row>
    <row r="585" spans="3:7" ht="12" customHeight="1">
      <c r="C585" s="31"/>
      <c r="G585" s="31"/>
    </row>
    <row r="586" spans="3:7" ht="12" customHeight="1">
      <c r="C586" s="31"/>
      <c r="G586" s="31"/>
    </row>
    <row r="587" spans="3:7" ht="12" customHeight="1">
      <c r="C587" s="31"/>
      <c r="G587" s="31"/>
    </row>
    <row r="588" spans="3:7" ht="12" customHeight="1">
      <c r="C588" s="31"/>
      <c r="G588" s="31"/>
    </row>
    <row r="589" spans="3:7" ht="12" customHeight="1">
      <c r="C589" s="31"/>
      <c r="G589" s="31"/>
    </row>
    <row r="590" spans="3:7" ht="12" customHeight="1">
      <c r="C590" s="31"/>
      <c r="G590" s="31"/>
    </row>
    <row r="591" spans="3:7" ht="12" customHeight="1">
      <c r="C591" s="31"/>
      <c r="G591" s="31"/>
    </row>
    <row r="592" spans="3:7" ht="12" customHeight="1">
      <c r="C592" s="31"/>
      <c r="G592" s="31"/>
    </row>
    <row r="593" spans="3:7" ht="12" customHeight="1">
      <c r="C593" s="31"/>
      <c r="G593" s="31"/>
    </row>
    <row r="594" spans="3:7" ht="12" customHeight="1">
      <c r="C594" s="31"/>
      <c r="G594" s="31"/>
    </row>
    <row r="595" spans="3:7" ht="12" customHeight="1">
      <c r="C595" s="31"/>
      <c r="G595" s="31"/>
    </row>
    <row r="596" spans="3:7" ht="12" customHeight="1">
      <c r="C596" s="31"/>
      <c r="G596" s="31"/>
    </row>
    <row r="597" spans="3:7" ht="12" customHeight="1">
      <c r="C597" s="31"/>
      <c r="G597" s="31"/>
    </row>
    <row r="598" spans="3:7" ht="12" customHeight="1">
      <c r="C598" s="31"/>
      <c r="G598" s="31"/>
    </row>
    <row r="599" spans="3:7" ht="12" customHeight="1">
      <c r="C599" s="31"/>
      <c r="G599" s="31"/>
    </row>
    <row r="600" spans="3:7" ht="12" customHeight="1">
      <c r="C600" s="31"/>
      <c r="G600" s="31"/>
    </row>
    <row r="601" spans="3:7" ht="12" customHeight="1">
      <c r="C601" s="31"/>
      <c r="G601" s="31"/>
    </row>
    <row r="602" spans="3:7" ht="12" customHeight="1">
      <c r="C602" s="31"/>
      <c r="G602" s="31"/>
    </row>
    <row r="603" spans="3:7" ht="12" customHeight="1">
      <c r="C603" s="31"/>
      <c r="G603" s="31"/>
    </row>
    <row r="604" spans="3:7" ht="12" customHeight="1">
      <c r="C604" s="31"/>
      <c r="G604" s="31"/>
    </row>
    <row r="605" spans="3:7" ht="12" customHeight="1">
      <c r="C605" s="31"/>
      <c r="G605" s="31"/>
    </row>
    <row r="606" spans="3:7" ht="12" customHeight="1">
      <c r="C606" s="31"/>
      <c r="G606" s="31"/>
    </row>
    <row r="607" spans="3:7" ht="12" customHeight="1">
      <c r="C607" s="31"/>
      <c r="G607" s="31"/>
    </row>
    <row r="608" spans="3:7" ht="12" customHeight="1">
      <c r="C608" s="31"/>
      <c r="G608" s="31"/>
    </row>
    <row r="609" spans="3:7" ht="12" customHeight="1">
      <c r="C609" s="31"/>
      <c r="G609" s="31"/>
    </row>
    <row r="610" spans="3:7" ht="12" customHeight="1">
      <c r="C610" s="31"/>
      <c r="G610" s="31"/>
    </row>
    <row r="611" spans="3:7" ht="12" customHeight="1">
      <c r="C611" s="31"/>
      <c r="G611" s="31"/>
    </row>
    <row r="612" spans="3:7" ht="12" customHeight="1">
      <c r="C612" s="31"/>
      <c r="G612" s="31"/>
    </row>
    <row r="613" spans="3:7" ht="12" customHeight="1">
      <c r="C613" s="31"/>
      <c r="G613" s="31"/>
    </row>
    <row r="614" spans="3:7" ht="12" customHeight="1">
      <c r="C614" s="31"/>
      <c r="G614" s="31"/>
    </row>
    <row r="615" spans="3:7" ht="12" customHeight="1">
      <c r="C615" s="31"/>
      <c r="G615" s="31"/>
    </row>
    <row r="616" spans="3:7" ht="12" customHeight="1">
      <c r="C616" s="31"/>
      <c r="G616" s="31"/>
    </row>
    <row r="617" spans="3:7" ht="12" customHeight="1">
      <c r="C617" s="31"/>
      <c r="G617" s="31"/>
    </row>
    <row r="618" spans="3:7" ht="12" customHeight="1">
      <c r="C618" s="31"/>
      <c r="G618" s="31"/>
    </row>
    <row r="619" spans="3:7" ht="12" customHeight="1">
      <c r="C619" s="31"/>
      <c r="G619" s="31"/>
    </row>
    <row r="620" spans="3:7" ht="12" customHeight="1">
      <c r="C620" s="31"/>
      <c r="G620" s="31"/>
    </row>
    <row r="621" spans="3:7" ht="12" customHeight="1">
      <c r="C621" s="31"/>
      <c r="G621" s="31"/>
    </row>
    <row r="622" spans="3:7" ht="12" customHeight="1">
      <c r="C622" s="31"/>
      <c r="G622" s="31"/>
    </row>
    <row r="623" spans="3:7" ht="12" customHeight="1">
      <c r="C623" s="31"/>
      <c r="G623" s="31"/>
    </row>
    <row r="624" spans="3:7" ht="12" customHeight="1">
      <c r="C624" s="31"/>
      <c r="G624" s="31"/>
    </row>
    <row r="625" spans="3:7" ht="12" customHeight="1">
      <c r="C625" s="31"/>
      <c r="G625" s="31"/>
    </row>
    <row r="626" spans="3:7" ht="12" customHeight="1">
      <c r="C626" s="31"/>
      <c r="G626" s="31"/>
    </row>
    <row r="627" spans="3:7" ht="12" customHeight="1">
      <c r="C627" s="31"/>
      <c r="G627" s="31"/>
    </row>
    <row r="628" spans="3:7" ht="12" customHeight="1">
      <c r="C628" s="31"/>
      <c r="G628" s="31"/>
    </row>
    <row r="629" spans="3:7" ht="12" customHeight="1">
      <c r="C629" s="31"/>
      <c r="G629" s="31"/>
    </row>
    <row r="630" spans="3:7" ht="12" customHeight="1">
      <c r="C630" s="31"/>
      <c r="G630" s="31"/>
    </row>
    <row r="631" spans="3:7" ht="12" customHeight="1">
      <c r="C631" s="31"/>
      <c r="G631" s="31"/>
    </row>
    <row r="632" spans="3:7" ht="12" customHeight="1">
      <c r="C632" s="31"/>
      <c r="G632" s="31"/>
    </row>
    <row r="633" spans="3:7" ht="12" customHeight="1">
      <c r="C633" s="31"/>
      <c r="G633" s="31"/>
    </row>
    <row r="634" spans="3:7" ht="12" customHeight="1">
      <c r="C634" s="31"/>
      <c r="G634" s="31"/>
    </row>
    <row r="635" spans="3:7" ht="12" customHeight="1">
      <c r="C635" s="31"/>
      <c r="G635" s="31"/>
    </row>
    <row r="636" spans="3:7" ht="12" customHeight="1">
      <c r="C636" s="31"/>
      <c r="G636" s="31"/>
    </row>
    <row r="637" spans="3:7" ht="12" customHeight="1">
      <c r="C637" s="31"/>
      <c r="G637" s="31"/>
    </row>
    <row r="638" spans="3:7" ht="12" customHeight="1">
      <c r="C638" s="31"/>
      <c r="G638" s="31"/>
    </row>
    <row r="639" spans="3:7" ht="12" customHeight="1">
      <c r="C639" s="31"/>
      <c r="G639" s="31"/>
    </row>
    <row r="640" spans="3:7" ht="12" customHeight="1">
      <c r="C640" s="31"/>
      <c r="G640" s="31"/>
    </row>
    <row r="641" spans="3:7" ht="12" customHeight="1">
      <c r="C641" s="31"/>
      <c r="G641" s="31"/>
    </row>
    <row r="642" spans="3:7" ht="12" customHeight="1">
      <c r="C642" s="31"/>
      <c r="G642" s="31"/>
    </row>
    <row r="643" spans="3:7" ht="12" customHeight="1">
      <c r="C643" s="31"/>
      <c r="G643" s="31"/>
    </row>
    <row r="644" spans="3:7" ht="12" customHeight="1">
      <c r="C644" s="31"/>
      <c r="G644" s="31"/>
    </row>
    <row r="645" spans="3:7" ht="12" customHeight="1">
      <c r="C645" s="31"/>
      <c r="G645" s="31"/>
    </row>
    <row r="646" spans="3:7" ht="12" customHeight="1">
      <c r="C646" s="31"/>
      <c r="G646" s="31"/>
    </row>
    <row r="647" spans="3:7" ht="12" customHeight="1">
      <c r="C647" s="31"/>
      <c r="G647" s="31"/>
    </row>
    <row r="648" spans="3:7" ht="12" customHeight="1">
      <c r="C648" s="31"/>
      <c r="G648" s="31"/>
    </row>
    <row r="649" spans="3:7" ht="12" customHeight="1">
      <c r="C649" s="31"/>
      <c r="G649" s="31"/>
    </row>
    <row r="650" spans="3:7" ht="12" customHeight="1">
      <c r="C650" s="31"/>
      <c r="G650" s="31"/>
    </row>
    <row r="651" spans="3:7" ht="12" customHeight="1">
      <c r="C651" s="31"/>
      <c r="G651" s="31"/>
    </row>
    <row r="652" spans="3:7" ht="12" customHeight="1">
      <c r="C652" s="31"/>
      <c r="G652" s="31"/>
    </row>
    <row r="653" spans="3:7" ht="12" customHeight="1">
      <c r="C653" s="31"/>
      <c r="G653" s="31"/>
    </row>
    <row r="654" spans="3:7" ht="12" customHeight="1">
      <c r="C654" s="31"/>
      <c r="G654" s="31"/>
    </row>
    <row r="655" spans="3:7" ht="12" customHeight="1">
      <c r="C655" s="31"/>
      <c r="G655" s="31"/>
    </row>
    <row r="656" spans="3:7">
      <c r="C656" s="31"/>
      <c r="G656" s="31"/>
    </row>
    <row r="657" spans="3:7">
      <c r="C657" s="31"/>
      <c r="G657" s="31"/>
    </row>
    <row r="658" spans="3:7">
      <c r="C658" s="31"/>
      <c r="G658" s="31"/>
    </row>
    <row r="659" spans="3:7">
      <c r="C659" s="31"/>
      <c r="G659" s="31"/>
    </row>
    <row r="660" spans="3:7">
      <c r="C660" s="31"/>
      <c r="G660" s="31"/>
    </row>
    <row r="661" spans="3:7">
      <c r="C661" s="31"/>
      <c r="G661" s="31"/>
    </row>
    <row r="662" spans="3:7">
      <c r="C662" s="31"/>
      <c r="G662" s="31"/>
    </row>
    <row r="663" spans="3:7">
      <c r="C663" s="31"/>
      <c r="G663" s="31"/>
    </row>
    <row r="664" spans="3:7">
      <c r="C664" s="31"/>
      <c r="G664" s="31"/>
    </row>
    <row r="665" spans="3:7">
      <c r="C665" s="31"/>
      <c r="G665" s="31"/>
    </row>
    <row r="666" spans="3:7">
      <c r="C666" s="31"/>
      <c r="G666" s="31"/>
    </row>
    <row r="667" spans="3:7">
      <c r="C667" s="31"/>
      <c r="G667" s="31"/>
    </row>
    <row r="668" spans="3:7">
      <c r="C668" s="31"/>
      <c r="G668" s="31"/>
    </row>
    <row r="669" spans="3:7">
      <c r="C669" s="31"/>
      <c r="G669" s="31"/>
    </row>
    <row r="670" spans="3:7">
      <c r="C670" s="31"/>
      <c r="G670" s="31"/>
    </row>
    <row r="671" spans="3:7">
      <c r="C671" s="31"/>
      <c r="G671" s="31"/>
    </row>
    <row r="672" spans="3:7">
      <c r="C672" s="31"/>
      <c r="G672" s="31"/>
    </row>
    <row r="673" spans="3:7">
      <c r="C673" s="31"/>
      <c r="G673" s="31"/>
    </row>
    <row r="674" spans="3:7">
      <c r="C674" s="31"/>
      <c r="G674" s="31"/>
    </row>
    <row r="675" spans="3:7">
      <c r="C675" s="31"/>
      <c r="G675" s="31"/>
    </row>
    <row r="676" spans="3:7">
      <c r="C676" s="31"/>
      <c r="G676" s="31"/>
    </row>
    <row r="677" spans="3:7">
      <c r="C677" s="31"/>
      <c r="G677" s="31"/>
    </row>
    <row r="678" spans="3:7">
      <c r="C678" s="31"/>
      <c r="G678" s="31"/>
    </row>
    <row r="679" spans="3:7">
      <c r="C679" s="31"/>
      <c r="G679" s="31"/>
    </row>
    <row r="680" spans="3:7">
      <c r="C680" s="31"/>
      <c r="G680" s="31"/>
    </row>
    <row r="681" spans="3:7">
      <c r="C681" s="31"/>
      <c r="G681" s="31"/>
    </row>
    <row r="682" spans="3:7">
      <c r="C682" s="31"/>
      <c r="G682" s="31"/>
    </row>
    <row r="683" spans="3:7">
      <c r="C683" s="31"/>
      <c r="G683" s="31"/>
    </row>
    <row r="684" spans="3:7">
      <c r="C684" s="31"/>
      <c r="G684" s="31"/>
    </row>
    <row r="685" spans="3:7">
      <c r="C685" s="31"/>
      <c r="G685" s="31"/>
    </row>
    <row r="686" spans="3:7">
      <c r="C686" s="31"/>
      <c r="G686" s="31"/>
    </row>
    <row r="687" spans="3:7">
      <c r="C687" s="31"/>
      <c r="G687" s="31"/>
    </row>
    <row r="688" spans="3:7">
      <c r="C688" s="31"/>
      <c r="G688" s="31"/>
    </row>
    <row r="689" spans="3:7">
      <c r="C689" s="31"/>
      <c r="G689" s="31"/>
    </row>
    <row r="690" spans="3:7">
      <c r="C690" s="31"/>
      <c r="G690" s="31"/>
    </row>
    <row r="691" spans="3:7">
      <c r="C691" s="31"/>
      <c r="G691" s="31"/>
    </row>
    <row r="692" spans="3:7">
      <c r="C692" s="31"/>
      <c r="G692" s="31"/>
    </row>
    <row r="693" spans="3:7">
      <c r="C693" s="31"/>
      <c r="G693" s="31"/>
    </row>
    <row r="694" spans="3:7">
      <c r="C694" s="31"/>
      <c r="G694" s="31"/>
    </row>
    <row r="695" spans="3:7">
      <c r="C695" s="31"/>
      <c r="G695" s="31"/>
    </row>
    <row r="696" spans="3:7">
      <c r="C696" s="31"/>
      <c r="G696" s="31"/>
    </row>
    <row r="697" spans="3:7">
      <c r="C697" s="31"/>
      <c r="G697" s="31"/>
    </row>
    <row r="698" spans="3:7">
      <c r="C698" s="31"/>
      <c r="G698" s="31"/>
    </row>
    <row r="699" spans="3:7">
      <c r="C699" s="31"/>
      <c r="G699" s="31"/>
    </row>
    <row r="700" spans="3:7">
      <c r="C700" s="31"/>
      <c r="G700" s="31"/>
    </row>
    <row r="701" spans="3:7">
      <c r="C701" s="31"/>
      <c r="G701" s="31"/>
    </row>
    <row r="702" spans="3:7">
      <c r="C702" s="31"/>
      <c r="G702" s="31"/>
    </row>
    <row r="703" spans="3:7">
      <c r="C703" s="31"/>
      <c r="G703" s="31"/>
    </row>
    <row r="704" spans="3:7">
      <c r="C704" s="31"/>
      <c r="G704" s="31"/>
    </row>
    <row r="705" spans="3:9">
      <c r="C705" s="31"/>
      <c r="G705" s="31"/>
    </row>
    <row r="706" spans="3:9">
      <c r="C706" s="31"/>
      <c r="G706" s="31"/>
    </row>
    <row r="707" spans="3:9">
      <c r="C707" s="31"/>
      <c r="G707" s="31"/>
    </row>
    <row r="708" spans="3:9">
      <c r="G708" s="31"/>
    </row>
    <row r="709" spans="3:9">
      <c r="G709" s="31"/>
    </row>
    <row r="710" spans="3:9">
      <c r="G710" s="31"/>
    </row>
    <row r="711" spans="3:9">
      <c r="G711" s="31"/>
    </row>
    <row r="712" spans="3:9">
      <c r="G712" s="31"/>
      <c r="I712" s="30"/>
    </row>
    <row r="713" spans="3:9">
      <c r="G713" s="31"/>
      <c r="I713" s="30"/>
    </row>
    <row r="714" spans="3:9">
      <c r="G714" s="31"/>
      <c r="I714" s="30"/>
    </row>
    <row r="715" spans="3:9">
      <c r="G715" s="31"/>
      <c r="I715" s="30"/>
    </row>
    <row r="716" spans="3:9">
      <c r="G716" s="31"/>
      <c r="I716" s="30"/>
    </row>
    <row r="717" spans="3:9">
      <c r="G717" s="31"/>
      <c r="I717" s="30"/>
    </row>
    <row r="718" spans="3:9">
      <c r="G718" s="31"/>
      <c r="I718" s="30"/>
    </row>
    <row r="719" spans="3:9">
      <c r="G719" s="31"/>
      <c r="H719" s="30"/>
      <c r="I719" s="30"/>
    </row>
    <row r="720" spans="3:9">
      <c r="G720" s="31"/>
      <c r="H720" s="30"/>
      <c r="I720" s="30"/>
    </row>
    <row r="721" spans="4:9">
      <c r="D721" s="31"/>
      <c r="G721" s="31"/>
      <c r="H721" s="30"/>
      <c r="I721" s="30"/>
    </row>
    <row r="722" spans="4:9">
      <c r="D722" s="31"/>
      <c r="G722" s="31"/>
      <c r="H722" s="30"/>
      <c r="I722" s="30"/>
    </row>
    <row r="723" spans="4:9">
      <c r="D723" s="31"/>
      <c r="G723" s="31"/>
      <c r="H723" s="30"/>
      <c r="I723" s="30"/>
    </row>
    <row r="724" spans="4:9">
      <c r="D724" s="31"/>
      <c r="G724" s="31"/>
      <c r="H724" s="30"/>
      <c r="I724" s="30"/>
    </row>
    <row r="725" spans="4:9">
      <c r="D725" s="31"/>
      <c r="G725" s="31"/>
      <c r="H725" s="30"/>
      <c r="I725" s="30"/>
    </row>
    <row r="726" spans="4:9">
      <c r="D726" s="31"/>
      <c r="H726" s="30"/>
      <c r="I726" s="30"/>
    </row>
    <row r="727" spans="4:9">
      <c r="D727" s="31"/>
      <c r="H727" s="30"/>
      <c r="I727" s="30"/>
    </row>
    <row r="728" spans="4:9">
      <c r="D728" s="31"/>
      <c r="H728" s="30"/>
      <c r="I728" s="30"/>
    </row>
    <row r="729" spans="4:9">
      <c r="D729" s="31"/>
      <c r="H729" s="30"/>
      <c r="I729" s="30"/>
    </row>
    <row r="730" spans="4:9">
      <c r="D730" s="31"/>
      <c r="H730" s="30"/>
      <c r="I730" s="30"/>
    </row>
    <row r="731" spans="4:9">
      <c r="D731" s="31"/>
      <c r="H731" s="30"/>
      <c r="I731" s="30"/>
    </row>
    <row r="732" spans="4:9">
      <c r="D732" s="31"/>
      <c r="H732" s="30"/>
      <c r="I732" s="30"/>
    </row>
    <row r="733" spans="4:9">
      <c r="D733" s="31"/>
      <c r="F733" s="31"/>
      <c r="H733" s="30"/>
      <c r="I733" s="30"/>
    </row>
    <row r="734" spans="4:9">
      <c r="D734" s="31"/>
      <c r="F734" s="31"/>
      <c r="H734" s="30"/>
      <c r="I734" s="30"/>
    </row>
    <row r="735" spans="4:9">
      <c r="D735" s="31"/>
      <c r="F735" s="31"/>
      <c r="H735" s="30"/>
      <c r="I735" s="30"/>
    </row>
    <row r="736" spans="4:9">
      <c r="D736" s="31"/>
      <c r="F736" s="31"/>
      <c r="H736" s="30"/>
      <c r="I736" s="30"/>
    </row>
    <row r="737" spans="4:9">
      <c r="D737" s="31"/>
      <c r="F737" s="31"/>
      <c r="H737" s="30"/>
      <c r="I737" s="30"/>
    </row>
    <row r="738" spans="4:9">
      <c r="D738" s="31"/>
      <c r="F738" s="31"/>
      <c r="H738" s="30"/>
      <c r="I738" s="30"/>
    </row>
    <row r="739" spans="4:9">
      <c r="D739" s="31"/>
      <c r="F739" s="31"/>
      <c r="H739" s="30"/>
      <c r="I739" s="30"/>
    </row>
    <row r="740" spans="4:9">
      <c r="D740" s="31"/>
      <c r="F740" s="31"/>
      <c r="H740" s="30"/>
      <c r="I740" s="30"/>
    </row>
    <row r="741" spans="4:9">
      <c r="D741" s="31"/>
      <c r="F741" s="31"/>
      <c r="H741" s="30"/>
      <c r="I741" s="30"/>
    </row>
    <row r="742" spans="4:9">
      <c r="D742" s="31"/>
      <c r="F742" s="31"/>
      <c r="H742" s="30"/>
      <c r="I742" s="30"/>
    </row>
    <row r="743" spans="4:9">
      <c r="D743" s="31"/>
      <c r="F743" s="31"/>
      <c r="H743" s="30"/>
      <c r="I743" s="30"/>
    </row>
    <row r="744" spans="4:9">
      <c r="D744" s="31"/>
      <c r="F744" s="31"/>
      <c r="H744" s="30"/>
      <c r="I744" s="30"/>
    </row>
    <row r="745" spans="4:9">
      <c r="D745" s="31"/>
      <c r="F745" s="31"/>
      <c r="H745" s="30"/>
      <c r="I745" s="30"/>
    </row>
    <row r="746" spans="4:9">
      <c r="D746" s="31"/>
      <c r="F746" s="31"/>
      <c r="H746" s="30"/>
      <c r="I746" s="30"/>
    </row>
    <row r="747" spans="4:9">
      <c r="D747" s="31"/>
      <c r="F747" s="31"/>
      <c r="H747" s="30"/>
      <c r="I747" s="30"/>
    </row>
    <row r="748" spans="4:9">
      <c r="D748" s="31"/>
      <c r="F748" s="31"/>
      <c r="H748" s="30"/>
      <c r="I748" s="30"/>
    </row>
    <row r="749" spans="4:9">
      <c r="D749" s="31"/>
      <c r="F749" s="31"/>
      <c r="H749" s="30"/>
      <c r="I749" s="30"/>
    </row>
    <row r="750" spans="4:9">
      <c r="D750" s="31"/>
      <c r="F750" s="31"/>
      <c r="H750" s="30"/>
      <c r="I750" s="30"/>
    </row>
    <row r="751" spans="4:9">
      <c r="D751" s="31"/>
      <c r="F751" s="31"/>
      <c r="H751" s="30"/>
      <c r="I751" s="30"/>
    </row>
    <row r="752" spans="4:9">
      <c r="D752" s="31"/>
      <c r="F752" s="31"/>
      <c r="H752" s="30"/>
      <c r="I752" s="30"/>
    </row>
    <row r="753" spans="4:9">
      <c r="D753" s="31"/>
      <c r="F753" s="31"/>
      <c r="H753" s="30"/>
      <c r="I753" s="30"/>
    </row>
    <row r="754" spans="4:9">
      <c r="D754" s="31"/>
      <c r="F754" s="31"/>
      <c r="H754" s="30"/>
      <c r="I754" s="30"/>
    </row>
    <row r="755" spans="4:9">
      <c r="D755" s="31"/>
      <c r="F755" s="31"/>
      <c r="H755" s="30"/>
      <c r="I755" s="30"/>
    </row>
    <row r="756" spans="4:9">
      <c r="D756" s="31"/>
      <c r="F756" s="31"/>
      <c r="H756" s="30"/>
      <c r="I756" s="30"/>
    </row>
    <row r="757" spans="4:9">
      <c r="D757" s="31"/>
      <c r="F757" s="31"/>
      <c r="H757" s="30"/>
      <c r="I757" s="30"/>
    </row>
    <row r="758" spans="4:9">
      <c r="D758" s="31"/>
      <c r="F758" s="31"/>
      <c r="H758" s="30"/>
      <c r="I758" s="30"/>
    </row>
    <row r="759" spans="4:9">
      <c r="D759" s="31"/>
      <c r="F759" s="31"/>
      <c r="H759" s="30"/>
      <c r="I759" s="30"/>
    </row>
    <row r="760" spans="4:9">
      <c r="D760" s="31"/>
      <c r="F760" s="31"/>
      <c r="H760" s="30"/>
      <c r="I760" s="30"/>
    </row>
    <row r="761" spans="4:9">
      <c r="D761" s="31"/>
      <c r="F761" s="31"/>
      <c r="H761" s="30"/>
      <c r="I761" s="30"/>
    </row>
    <row r="762" spans="4:9">
      <c r="D762" s="31"/>
      <c r="F762" s="31"/>
      <c r="H762" s="30"/>
      <c r="I762" s="30"/>
    </row>
    <row r="763" spans="4:9">
      <c r="D763" s="31"/>
      <c r="F763" s="31"/>
      <c r="H763" s="30"/>
      <c r="I763" s="30"/>
    </row>
    <row r="764" spans="4:9">
      <c r="D764" s="31"/>
      <c r="F764" s="31"/>
      <c r="H764" s="30"/>
      <c r="I764" s="30"/>
    </row>
    <row r="765" spans="4:9">
      <c r="D765" s="31"/>
      <c r="F765" s="31"/>
      <c r="H765" s="30"/>
      <c r="I765" s="30"/>
    </row>
    <row r="766" spans="4:9">
      <c r="D766" s="31"/>
      <c r="F766" s="31"/>
      <c r="H766" s="30"/>
      <c r="I766" s="30"/>
    </row>
    <row r="767" spans="4:9">
      <c r="D767" s="31"/>
      <c r="F767" s="31"/>
      <c r="H767" s="30"/>
      <c r="I767" s="30"/>
    </row>
    <row r="768" spans="4:9">
      <c r="D768" s="31"/>
      <c r="F768" s="31"/>
      <c r="H768" s="30"/>
      <c r="I768" s="30"/>
    </row>
    <row r="769" spans="4:9">
      <c r="D769" s="31"/>
      <c r="F769" s="31"/>
      <c r="H769" s="30"/>
      <c r="I769" s="30"/>
    </row>
    <row r="770" spans="4:9">
      <c r="D770" s="31"/>
      <c r="F770" s="31"/>
      <c r="H770" s="30"/>
    </row>
    <row r="771" spans="4:9">
      <c r="D771" s="31"/>
      <c r="F771" s="31"/>
      <c r="H771" s="30"/>
    </row>
    <row r="772" spans="4:9">
      <c r="D772" s="31"/>
      <c r="F772" s="31"/>
      <c r="H772" s="30"/>
    </row>
    <row r="773" spans="4:9">
      <c r="D773" s="31"/>
      <c r="F773" s="31"/>
      <c r="H773" s="30"/>
    </row>
    <row r="774" spans="4:9">
      <c r="D774" s="31"/>
      <c r="F774" s="31"/>
      <c r="H774" s="30"/>
    </row>
    <row r="775" spans="4:9">
      <c r="D775" s="31"/>
      <c r="F775" s="31"/>
      <c r="H775" s="30"/>
    </row>
    <row r="776" spans="4:9">
      <c r="F776" s="31"/>
      <c r="H776" s="30"/>
    </row>
    <row r="777" spans="4:9">
      <c r="F777" s="31"/>
    </row>
    <row r="778" spans="4:9">
      <c r="F778" s="31"/>
    </row>
    <row r="779" spans="4:9">
      <c r="F779" s="31"/>
    </row>
    <row r="780" spans="4:9">
      <c r="F780" s="31"/>
    </row>
    <row r="781" spans="4:9">
      <c r="F781" s="31"/>
    </row>
    <row r="782" spans="4:9">
      <c r="F782" s="31"/>
    </row>
    <row r="783" spans="4:9">
      <c r="F783" s="31"/>
    </row>
    <row r="784" spans="4:9">
      <c r="F784" s="31"/>
    </row>
    <row r="785" spans="6:6">
      <c r="F785" s="31"/>
    </row>
    <row r="786" spans="6:6">
      <c r="F786" s="31"/>
    </row>
    <row r="787" spans="6:6">
      <c r="F787" s="31"/>
    </row>
    <row r="788" spans="6:6">
      <c r="F788" s="31"/>
    </row>
    <row r="789" spans="6:6">
      <c r="F789" s="31"/>
    </row>
    <row r="790" spans="6:6">
      <c r="F790" s="31"/>
    </row>
  </sheetData>
  <mergeCells count="5">
    <mergeCell ref="F22:K22"/>
    <mergeCell ref="F21:K21"/>
    <mergeCell ref="F7:K7"/>
    <mergeCell ref="F1:J1"/>
    <mergeCell ref="F14:K14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&amp;C&amp;"Calibri"&amp;10&amp;K4A569E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Standar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Scheduler</vt:lpstr>
      <vt:lpstr>Finance</vt:lpstr>
      <vt:lpstr>Learnings</vt:lpstr>
      <vt:lpstr>Extra Words</vt:lpstr>
      <vt:lpstr>Readings</vt:lpstr>
      <vt:lpstr>Musicology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朱友晶</dc:creator>
  <cp:lastModifiedBy>Zhu, Chris /CN</cp:lastModifiedBy>
  <cp:lastPrinted>2022-09-16T16:25:04Z</cp:lastPrinted>
  <dcterms:created xsi:type="dcterms:W3CDTF">2009-04-16T10:42:37Z</dcterms:created>
  <dcterms:modified xsi:type="dcterms:W3CDTF">2025-12-18T05:48:55Z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3dcb88-8425-4e1d-b1a3-bd5572915bbc_Enabled">
    <vt:lpwstr>true</vt:lpwstr>
  </property>
  <property fmtid="{D5CDD505-2E9C-101B-9397-08002B2CF9AE}" pid="3" name="MSIP_Label_9e3dcb88-8425-4e1d-b1a3-bd5572915bbc_SetDate">
    <vt:lpwstr>2023-03-14T01:43:42Z</vt:lpwstr>
  </property>
  <property fmtid="{D5CDD505-2E9C-101B-9397-08002B2CF9AE}" pid="4" name="MSIP_Label_9e3dcb88-8425-4e1d-b1a3-bd5572915bbc_Method">
    <vt:lpwstr>Standard</vt:lpwstr>
  </property>
  <property fmtid="{D5CDD505-2E9C-101B-9397-08002B2CF9AE}" pid="5" name="MSIP_Label_9e3dcb88-8425-4e1d-b1a3-bd5572915bbc_Name">
    <vt:lpwstr>Internal</vt:lpwstr>
  </property>
  <property fmtid="{D5CDD505-2E9C-101B-9397-08002B2CF9AE}" pid="6" name="MSIP_Label_9e3dcb88-8425-4e1d-b1a3-bd5572915bbc_SiteId">
    <vt:lpwstr>aca3c8d6-aa71-4e1a-a10e-03572fc58c0b</vt:lpwstr>
  </property>
  <property fmtid="{D5CDD505-2E9C-101B-9397-08002B2CF9AE}" pid="7" name="MSIP_Label_9e3dcb88-8425-4e1d-b1a3-bd5572915bbc_ActionId">
    <vt:lpwstr>ca5ebcaf-1b34-4e63-b01e-25765ab686b2</vt:lpwstr>
  </property>
  <property fmtid="{D5CDD505-2E9C-101B-9397-08002B2CF9AE}" pid="8" name="MSIP_Label_9e3dcb88-8425-4e1d-b1a3-bd5572915bbc_ContentBits">
    <vt:lpwstr>1</vt:lpwstr>
  </property>
</Properties>
</file>